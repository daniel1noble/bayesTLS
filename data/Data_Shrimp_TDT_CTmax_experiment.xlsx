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unsw-my.sharepoint.com/personal/z5288536_ad_unsw_edu_au/Documents/[Postdoc UGOT]/Brown_shrimp_TDT_CTmax/data/"/>
    </mc:Choice>
  </mc:AlternateContent>
  <xr:revisionPtr revIDLastSave="3691" documentId="8_{EBFF7DDF-44A5-43EC-AADB-0686D6630B29}" xr6:coauthVersionLast="47" xr6:coauthVersionMax="47" xr10:uidLastSave="{566FCF5B-CA51-45AB-8F73-C39D041E093D}"/>
  <bookViews>
    <workbookView xWindow="-90" yWindow="-90" windowWidth="19380" windowHeight="10260" xr2:uid="{3AE21794-442A-4E3F-9C91-7851491EE57E}"/>
  </bookViews>
  <sheets>
    <sheet name="LETHAL_TDT" sheetId="2" r:id="rId1"/>
    <sheet name="SUBLETHAL_TDT" sheetId="5" r:id="rId2"/>
    <sheet name="SUBLETHAL_TDT_trial_data" sheetId="6" r:id="rId3"/>
    <sheet name="CTMAX" sheetId="1" r:id="rId4"/>
    <sheet name="CTMAX_ramping_data" sheetId="3" r:id="rId5"/>
    <sheet name="CTMAX_trial_data" sheetId="4"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49" i="2" l="1"/>
  <c r="I149" i="2"/>
  <c r="I148" i="2"/>
  <c r="I147" i="2"/>
  <c r="I146" i="2"/>
  <c r="I145" i="2"/>
  <c r="I144" i="2"/>
  <c r="I143" i="2"/>
  <c r="I142" i="2"/>
  <c r="I141" i="2"/>
  <c r="I140" i="2"/>
  <c r="I139" i="2"/>
  <c r="I138" i="2"/>
  <c r="I137" i="2"/>
  <c r="I136" i="2"/>
  <c r="I135" i="2"/>
  <c r="I134" i="2"/>
  <c r="I133" i="2"/>
  <c r="I132" i="2"/>
  <c r="I131" i="2"/>
  <c r="I130" i="2"/>
  <c r="I129" i="2"/>
  <c r="I128" i="2"/>
  <c r="I109" i="2"/>
  <c r="I108" i="2"/>
  <c r="I107" i="2"/>
  <c r="I106" i="2"/>
  <c r="I103" i="2"/>
  <c r="I102" i="2"/>
  <c r="I101" i="2"/>
  <c r="I100" i="2"/>
  <c r="I97" i="2"/>
  <c r="I96" i="2"/>
  <c r="I95" i="2"/>
  <c r="I94" i="2"/>
  <c r="I91" i="2"/>
  <c r="I90" i="2"/>
  <c r="I89" i="2"/>
  <c r="I88" i="2"/>
  <c r="I85" i="2"/>
  <c r="I84" i="2"/>
  <c r="I83" i="2"/>
  <c r="I82" i="2"/>
  <c r="I79" i="2"/>
  <c r="I78" i="2"/>
  <c r="I77" i="2"/>
  <c r="I76" i="2"/>
  <c r="H109" i="2"/>
  <c r="H108" i="2"/>
  <c r="H107" i="2"/>
  <c r="H106" i="2"/>
  <c r="H103" i="2"/>
  <c r="H102" i="2"/>
  <c r="H101" i="2"/>
  <c r="H100" i="2"/>
  <c r="H97" i="2"/>
  <c r="H96" i="2"/>
  <c r="H95" i="2"/>
  <c r="H94" i="2"/>
  <c r="H91" i="2"/>
  <c r="H90" i="2"/>
  <c r="H89" i="2"/>
  <c r="H88" i="2"/>
  <c r="H85" i="2"/>
  <c r="H84" i="2"/>
  <c r="H83" i="2"/>
  <c r="H82" i="2"/>
  <c r="H79" i="2"/>
  <c r="H78" i="2"/>
  <c r="H77" i="2"/>
  <c r="H76" i="2"/>
  <c r="H148" i="2"/>
  <c r="H147" i="2"/>
  <c r="H146" i="2"/>
  <c r="H145" i="2"/>
  <c r="H144" i="2"/>
  <c r="H143" i="2"/>
  <c r="H142" i="2"/>
  <c r="H141" i="2"/>
  <c r="H140" i="2"/>
  <c r="H139" i="2"/>
  <c r="H138" i="2"/>
  <c r="H137" i="2"/>
  <c r="H136" i="2"/>
  <c r="H135" i="2"/>
  <c r="H134" i="2"/>
  <c r="H133" i="2"/>
  <c r="H132" i="2"/>
  <c r="H131" i="2"/>
  <c r="H130" i="2"/>
  <c r="H129" i="2"/>
  <c r="H128" i="2"/>
  <c r="E70" i="6"/>
  <c r="E69" i="6"/>
  <c r="E68" i="6"/>
  <c r="E67" i="6"/>
  <c r="E66" i="6"/>
  <c r="E65" i="6"/>
  <c r="E64" i="6"/>
  <c r="E63" i="6"/>
  <c r="E62" i="6"/>
  <c r="E61" i="6"/>
  <c r="E60" i="6"/>
  <c r="E59" i="6"/>
  <c r="E58" i="6"/>
  <c r="E57" i="6"/>
  <c r="E56" i="6"/>
  <c r="E55" i="6"/>
  <c r="E54" i="6"/>
  <c r="E53" i="6"/>
  <c r="E52" i="6"/>
  <c r="E51" i="6"/>
  <c r="E50" i="6"/>
  <c r="E49" i="6"/>
  <c r="E48" i="6"/>
  <c r="E47" i="6"/>
  <c r="E46" i="6"/>
  <c r="E45" i="6"/>
  <c r="E44" i="6"/>
  <c r="E43" i="6"/>
  <c r="E42" i="6"/>
  <c r="E41" i="6"/>
  <c r="I127" i="2"/>
  <c r="I126" i="2"/>
  <c r="I125" i="2"/>
  <c r="I124" i="2"/>
  <c r="I123" i="2"/>
  <c r="I122" i="2"/>
  <c r="I121" i="2"/>
  <c r="I120" i="2"/>
  <c r="I119" i="2"/>
  <c r="I118" i="2"/>
  <c r="I117" i="2"/>
  <c r="I116" i="2"/>
  <c r="I115" i="2"/>
  <c r="I114" i="2"/>
  <c r="I113" i="2"/>
  <c r="I112" i="2"/>
  <c r="I111" i="2"/>
  <c r="I110" i="2"/>
  <c r="H127" i="2"/>
  <c r="H126" i="2"/>
  <c r="H125" i="2"/>
  <c r="H124" i="2"/>
  <c r="H123" i="2"/>
  <c r="H122" i="2"/>
  <c r="H121" i="2"/>
  <c r="H120" i="2"/>
  <c r="H119" i="2"/>
  <c r="H118" i="2"/>
  <c r="H117" i="2"/>
  <c r="H116" i="2"/>
  <c r="H115" i="2"/>
  <c r="H114" i="2"/>
  <c r="H113" i="2"/>
  <c r="H112" i="2"/>
  <c r="H111" i="2"/>
  <c r="H110" i="2"/>
  <c r="F127" i="2"/>
  <c r="F126" i="2"/>
  <c r="F125" i="2"/>
  <c r="E17" i="4"/>
  <c r="E16" i="4"/>
  <c r="E15" i="4"/>
  <c r="G15" i="4"/>
  <c r="G16" i="4"/>
  <c r="G17" i="4"/>
  <c r="F17" i="4"/>
  <c r="F16" i="4"/>
  <c r="F15" i="4"/>
  <c r="H5" i="4"/>
  <c r="H3" i="4"/>
  <c r="H4" i="4"/>
  <c r="H6" i="4"/>
  <c r="H7" i="4"/>
  <c r="H8" i="4"/>
  <c r="H9" i="4"/>
  <c r="H10" i="4"/>
  <c r="H11" i="4"/>
  <c r="H2" i="4"/>
  <c r="B11" i="4"/>
  <c r="B10" i="4"/>
  <c r="B7" i="4"/>
  <c r="B6" i="4"/>
  <c r="D89" i="1"/>
  <c r="I3" i="3"/>
  <c r="H3" i="3"/>
  <c r="I2" i="3"/>
  <c r="E49" i="3"/>
  <c r="E50" i="3"/>
  <c r="E51" i="3"/>
  <c r="E52" i="3"/>
  <c r="E53" i="3"/>
  <c r="E54" i="3"/>
  <c r="E55" i="3"/>
  <c r="E56" i="3"/>
  <c r="E57" i="3"/>
  <c r="E58" i="3"/>
  <c r="E59" i="3"/>
  <c r="E60" i="3"/>
  <c r="E61" i="3"/>
  <c r="E62" i="3"/>
  <c r="E63" i="3"/>
  <c r="E65" i="3"/>
  <c r="F65" i="3" s="1"/>
  <c r="E66" i="3"/>
  <c r="E67" i="3"/>
  <c r="E68" i="3"/>
  <c r="E69" i="3"/>
  <c r="E70" i="3"/>
  <c r="E71" i="3"/>
  <c r="E72" i="3"/>
  <c r="E73" i="3"/>
  <c r="E74" i="3"/>
  <c r="E75" i="3"/>
  <c r="E76" i="3"/>
  <c r="E77" i="3"/>
  <c r="E78" i="3"/>
  <c r="E79" i="3"/>
  <c r="E80" i="3"/>
  <c r="E81" i="3"/>
  <c r="E48" i="3"/>
  <c r="F48" i="3" s="1"/>
  <c r="E44" i="3"/>
  <c r="E13" i="3"/>
  <c r="F13" i="3" s="1"/>
  <c r="E14" i="3"/>
  <c r="E15" i="3"/>
  <c r="E16" i="3"/>
  <c r="E17" i="3"/>
  <c r="E18" i="3"/>
  <c r="E19" i="3"/>
  <c r="E20" i="3"/>
  <c r="E21" i="3"/>
  <c r="E22" i="3"/>
  <c r="E23" i="3"/>
  <c r="E24" i="3"/>
  <c r="E25" i="3"/>
  <c r="E26" i="3"/>
  <c r="E27" i="3"/>
  <c r="E28" i="3"/>
  <c r="E29" i="3"/>
  <c r="E30" i="3"/>
  <c r="E31" i="3"/>
  <c r="E32" i="3"/>
  <c r="F27" i="3" s="1"/>
  <c r="E33" i="3"/>
  <c r="E34" i="3"/>
  <c r="E36" i="3"/>
  <c r="F36" i="3" s="1"/>
  <c r="E37" i="3"/>
  <c r="E38" i="3"/>
  <c r="E39" i="3"/>
  <c r="E40" i="3"/>
  <c r="E41" i="3"/>
  <c r="E42" i="3"/>
  <c r="E43" i="3"/>
  <c r="E4" i="3"/>
  <c r="E5" i="3"/>
  <c r="E6" i="3"/>
  <c r="E7" i="3"/>
  <c r="E8" i="3"/>
  <c r="E9" i="3"/>
  <c r="E10" i="3"/>
  <c r="E11" i="3"/>
  <c r="E3" i="3"/>
  <c r="F2" i="3" s="1"/>
  <c r="H2" i="3" s="1"/>
  <c r="E2" i="3"/>
  <c r="E40" i="6"/>
  <c r="E39" i="6"/>
  <c r="E38" i="6"/>
  <c r="E37" i="6"/>
  <c r="E36" i="6"/>
  <c r="E35" i="6"/>
  <c r="E34" i="6"/>
  <c r="E33" i="6"/>
  <c r="E32" i="6"/>
  <c r="E31" i="6"/>
  <c r="E30" i="6"/>
  <c r="E29" i="6"/>
  <c r="E28" i="6"/>
  <c r="E27" i="6"/>
  <c r="E26" i="6"/>
  <c r="E25" i="6"/>
  <c r="E24" i="6"/>
  <c r="E23" i="6"/>
  <c r="E22" i="6"/>
  <c r="E21" i="6"/>
  <c r="E20" i="6"/>
  <c r="E19" i="6"/>
  <c r="E18" i="6"/>
  <c r="E17" i="6"/>
  <c r="E16" i="6"/>
  <c r="E15" i="6"/>
  <c r="E14" i="6"/>
  <c r="E13" i="6"/>
  <c r="E12" i="6"/>
  <c r="E11" i="6"/>
  <c r="E10" i="6"/>
  <c r="E9" i="6"/>
  <c r="E8" i="6"/>
  <c r="E7" i="6"/>
  <c r="E6" i="6"/>
  <c r="E5" i="6"/>
  <c r="E4" i="6"/>
  <c r="E3" i="6"/>
  <c r="E2" i="6"/>
  <c r="C11" i="4"/>
  <c r="C10" i="4"/>
  <c r="D156" i="1"/>
  <c r="D157" i="1"/>
  <c r="D158" i="1"/>
  <c r="D159" i="1"/>
  <c r="D160" i="1"/>
  <c r="D161" i="1"/>
  <c r="D162" i="1"/>
  <c r="D163" i="1"/>
  <c r="D164" i="1"/>
  <c r="D165" i="1"/>
  <c r="D166" i="1"/>
  <c r="D167" i="1"/>
  <c r="D168" i="1"/>
  <c r="D169" i="1"/>
  <c r="D170" i="1"/>
  <c r="D171" i="1"/>
  <c r="D155" i="1"/>
  <c r="D154" i="1"/>
  <c r="D143" i="1"/>
  <c r="D144" i="1"/>
  <c r="D145" i="1"/>
  <c r="D146" i="1"/>
  <c r="D147" i="1"/>
  <c r="D148" i="1"/>
  <c r="D149" i="1"/>
  <c r="D150" i="1"/>
  <c r="D151" i="1"/>
  <c r="D152" i="1"/>
  <c r="D153" i="1"/>
  <c r="D142" i="1"/>
  <c r="D141" i="1"/>
  <c r="D76" i="1"/>
  <c r="D77" i="1"/>
  <c r="D78" i="1"/>
  <c r="D79" i="1"/>
  <c r="D80" i="1"/>
  <c r="D81" i="1"/>
  <c r="D82" i="1"/>
  <c r="D83" i="1"/>
  <c r="D84" i="1"/>
  <c r="D85" i="1"/>
  <c r="D86" i="1"/>
  <c r="D87" i="1"/>
  <c r="D88" i="1"/>
  <c r="D90" i="1"/>
  <c r="D91" i="1"/>
  <c r="D92" i="1"/>
  <c r="D93" i="1"/>
  <c r="D94" i="1"/>
  <c r="D95" i="1"/>
  <c r="D96" i="1"/>
  <c r="D97" i="1"/>
  <c r="D98" i="1"/>
  <c r="D99" i="1"/>
  <c r="D100" i="1"/>
  <c r="D101" i="1"/>
  <c r="D102" i="1"/>
  <c r="D103" i="1"/>
  <c r="D75" i="1"/>
  <c r="D74" i="1"/>
  <c r="C9" i="4"/>
  <c r="C8" i="4"/>
  <c r="C7" i="4"/>
  <c r="C6" i="4"/>
  <c r="C5" i="4"/>
  <c r="C4" i="4"/>
  <c r="C3" i="4"/>
  <c r="C2" i="4"/>
  <c r="I30" i="2"/>
  <c r="H30" i="2"/>
  <c r="I26" i="2"/>
  <c r="H26" i="2"/>
  <c r="I104" i="2"/>
  <c r="H104" i="2"/>
  <c r="I92" i="2"/>
  <c r="H92" i="2"/>
  <c r="I86" i="2"/>
  <c r="H86" i="2"/>
  <c r="I80" i="2"/>
  <c r="H80" i="2"/>
  <c r="I74" i="2"/>
  <c r="H74" i="2"/>
  <c r="I105" i="2"/>
  <c r="H105" i="2"/>
  <c r="I98" i="2"/>
  <c r="I99" i="2"/>
  <c r="H99" i="2"/>
  <c r="H98" i="2"/>
  <c r="I93" i="2"/>
  <c r="H93" i="2"/>
  <c r="I87" i="2"/>
  <c r="H87" i="2"/>
  <c r="I81" i="2"/>
  <c r="H81" i="2"/>
  <c r="I75" i="2"/>
  <c r="H75" i="2"/>
  <c r="I73" i="2"/>
  <c r="H73" i="2"/>
  <c r="I72" i="2"/>
  <c r="H72" i="2"/>
  <c r="I71" i="2"/>
  <c r="H71" i="2"/>
  <c r="I70" i="2"/>
  <c r="H70" i="2"/>
  <c r="I69" i="2"/>
  <c r="H69" i="2"/>
  <c r="I67" i="2"/>
  <c r="H67" i="2"/>
  <c r="I66" i="2"/>
  <c r="H66" i="2"/>
  <c r="I65" i="2"/>
  <c r="H65" i="2"/>
  <c r="I64" i="2"/>
  <c r="H64" i="2"/>
  <c r="I63" i="2"/>
  <c r="H63" i="2"/>
  <c r="I61" i="2"/>
  <c r="H61" i="2"/>
  <c r="I60" i="2"/>
  <c r="H60" i="2"/>
  <c r="I59" i="2"/>
  <c r="H59" i="2"/>
  <c r="I58" i="2"/>
  <c r="H58" i="2"/>
  <c r="I57" i="2"/>
  <c r="H57" i="2"/>
  <c r="I55" i="2"/>
  <c r="H55" i="2"/>
  <c r="I54" i="2"/>
  <c r="H54" i="2"/>
  <c r="I53" i="2"/>
  <c r="H53" i="2"/>
  <c r="I52" i="2"/>
  <c r="H52" i="2"/>
  <c r="I51" i="2"/>
  <c r="H51" i="2"/>
  <c r="I49" i="2"/>
  <c r="H49" i="2"/>
  <c r="I48" i="2"/>
  <c r="H48" i="2"/>
  <c r="I47" i="2"/>
  <c r="H47" i="2"/>
  <c r="I46" i="2"/>
  <c r="H46" i="2"/>
  <c r="I45" i="2"/>
  <c r="H45" i="2"/>
  <c r="I43" i="2"/>
  <c r="I42" i="2"/>
  <c r="I41" i="2"/>
  <c r="I40" i="2"/>
  <c r="I39" i="2"/>
  <c r="H43" i="2"/>
  <c r="H42" i="2"/>
  <c r="H41" i="2"/>
  <c r="H40" i="2"/>
  <c r="H39" i="2"/>
  <c r="I68" i="2"/>
  <c r="H68" i="2"/>
  <c r="I62" i="2"/>
  <c r="H62" i="2"/>
  <c r="I56" i="2"/>
  <c r="H56" i="2"/>
  <c r="I50" i="2"/>
  <c r="H50" i="2"/>
  <c r="I44" i="2"/>
  <c r="H44" i="2"/>
  <c r="I38" i="2"/>
  <c r="H38" i="2"/>
  <c r="H2" i="2"/>
  <c r="I37" i="2"/>
  <c r="I36" i="2"/>
  <c r="I35" i="2"/>
  <c r="I34" i="2"/>
  <c r="I33" i="2"/>
  <c r="I32" i="2"/>
  <c r="I31" i="2"/>
  <c r="I29" i="2"/>
  <c r="H28" i="2"/>
  <c r="I28" i="2"/>
  <c r="I27" i="2"/>
  <c r="I25" i="2"/>
  <c r="I24" i="2"/>
  <c r="I23" i="2"/>
  <c r="I22" i="2"/>
  <c r="I21" i="2"/>
  <c r="I20" i="2"/>
  <c r="I19" i="2"/>
  <c r="I18" i="2"/>
  <c r="I17" i="2"/>
  <c r="I16" i="2"/>
  <c r="I15" i="2"/>
  <c r="I14" i="2"/>
  <c r="I13" i="2"/>
  <c r="I12" i="2"/>
  <c r="I11" i="2"/>
  <c r="I10" i="2"/>
  <c r="I9" i="2"/>
  <c r="I8" i="2"/>
  <c r="I7" i="2"/>
  <c r="I6" i="2"/>
  <c r="I5" i="2"/>
  <c r="I4" i="2"/>
  <c r="I3" i="2"/>
  <c r="I2" i="2"/>
  <c r="H37" i="2"/>
  <c r="H36" i="2"/>
  <c r="H35" i="2"/>
  <c r="H34" i="2"/>
  <c r="H33" i="2"/>
  <c r="H32" i="2"/>
  <c r="H31" i="2"/>
  <c r="H29" i="2"/>
  <c r="H27" i="2"/>
  <c r="H25" i="2"/>
  <c r="H24" i="2"/>
  <c r="H23" i="2"/>
  <c r="H22" i="2"/>
  <c r="H21" i="2"/>
  <c r="H20" i="2"/>
  <c r="H19" i="2"/>
  <c r="H18" i="2"/>
  <c r="H17" i="2"/>
  <c r="H16" i="2"/>
  <c r="H15" i="2"/>
  <c r="H14" i="2"/>
  <c r="H13" i="2"/>
  <c r="H12" i="2"/>
  <c r="H11" i="2"/>
  <c r="H10" i="2"/>
  <c r="H9" i="2"/>
  <c r="H8" i="2"/>
  <c r="H7" i="2"/>
  <c r="H6" i="2"/>
  <c r="H5" i="2"/>
  <c r="H4" i="2"/>
  <c r="H3" i="2"/>
</calcChain>
</file>

<file path=xl/sharedStrings.xml><?xml version="1.0" encoding="utf-8"?>
<sst xmlns="http://schemas.openxmlformats.org/spreadsheetml/2006/main" count="2991" uniqueCount="112">
  <si>
    <t>Date</t>
  </si>
  <si>
    <t>Starting_time</t>
  </si>
  <si>
    <t>Temperature_assay</t>
  </si>
  <si>
    <t>Mortality_after_trial</t>
  </si>
  <si>
    <t>Mortality_the_next_day</t>
  </si>
  <si>
    <t>Time_next_day_measured</t>
  </si>
  <si>
    <t>Water_temperature_holding_tank</t>
  </si>
  <si>
    <t>Notes</t>
  </si>
  <si>
    <t>NA</t>
  </si>
  <si>
    <t>Observer_mortality</t>
  </si>
  <si>
    <t>N_individuals_after_trial</t>
  </si>
  <si>
    <t>N_individuals_after_recovery</t>
  </si>
  <si>
    <t>Total_Sample_body_mass_g</t>
  </si>
  <si>
    <t>2 very small shrimps in this sample.</t>
  </si>
  <si>
    <t>Second replicate within the same trial day.</t>
  </si>
  <si>
    <t>Duration_exposure_hours</t>
  </si>
  <si>
    <t>PP/LP</t>
  </si>
  <si>
    <t>PP/MT/RE</t>
  </si>
  <si>
    <t>Cup removed at the wrong time on 22/06. Done on 23/06 instead.</t>
  </si>
  <si>
    <t>One of the cups was removed at the wrong time. This is the data from a second replicate done this day.</t>
  </si>
  <si>
    <t>Observer</t>
  </si>
  <si>
    <t>Water_temperature_tank</t>
  </si>
  <si>
    <t>Starting_temperature</t>
  </si>
  <si>
    <t>Ramping_rate</t>
  </si>
  <si>
    <t>PP/RE</t>
  </si>
  <si>
    <t>Trial_ID</t>
  </si>
  <si>
    <t>CTmax_001</t>
  </si>
  <si>
    <t>CTmax_002</t>
  </si>
  <si>
    <t>CTmax_003</t>
  </si>
  <si>
    <t>CTmax_004</t>
  </si>
  <si>
    <t>CTmax_005</t>
  </si>
  <si>
    <t>CTmax_006</t>
  </si>
  <si>
    <t>CTmax_007</t>
  </si>
  <si>
    <t>CTmax_008</t>
  </si>
  <si>
    <t>Temperature</t>
  </si>
  <si>
    <t>See CTMAX_ramping_data for actual ramping rate.</t>
  </si>
  <si>
    <t>CTmax</t>
  </si>
  <si>
    <t>Sample_body_mass_g</t>
  </si>
  <si>
    <t>MT/JS</t>
  </si>
  <si>
    <t>LG/PP</t>
  </si>
  <si>
    <t>MT/LG</t>
  </si>
  <si>
    <t>Time_min</t>
  </si>
  <si>
    <t>MT/MG</t>
  </si>
  <si>
    <t xml:space="preserve">See CTMAX_ramping_data for actual ramping rate. </t>
  </si>
  <si>
    <t>n = 2 shrimps were missing in the morning, likely due to cannibalism.</t>
  </si>
  <si>
    <t>n = 3 shrimps were missing in the morning, likely due to cannibalism. One additional shrimp was also missed during the CTmax assay, so there is only CTmax data for 14 individuals, although the body mass was measured on 15 individuals.</t>
  </si>
  <si>
    <t xml:space="preserve">Check with Alex Berry. </t>
  </si>
  <si>
    <t>MT/AB</t>
  </si>
  <si>
    <t xml:space="preserve">This value might have been duplicated. See CTMAX_ramping_data for actual ramping rate. </t>
  </si>
  <si>
    <t>One CTmax value was counted twice, so there is n=1 additional observation of 34.3 or 34.4 that should be removed. Need to do a sensitivity analysis to see how this may impact the results.</t>
  </si>
  <si>
    <t>LK/PP</t>
  </si>
  <si>
    <t xml:space="preserve">One individual was fully nearly fully eaten so the body mass measurement was out of 17, not 18. </t>
  </si>
  <si>
    <t>N_individuals_mortality</t>
  </si>
  <si>
    <t>N_individuals_body_mass</t>
  </si>
  <si>
    <t>Recorded with HOBBO logger</t>
  </si>
  <si>
    <t>CTmax_009</t>
  </si>
  <si>
    <t>CTmax_010</t>
  </si>
  <si>
    <t>n = 7 individuals missing in the morning likely due to cannibalism</t>
  </si>
  <si>
    <t xml:space="preserve">n = 2 individuals missing in the morning, likely due to cannibalism. </t>
  </si>
  <si>
    <t>Sample</t>
  </si>
  <si>
    <t>Time_to_death</t>
  </si>
  <si>
    <t>PP/LP/LK/MT</t>
  </si>
  <si>
    <t>Assay_temperature</t>
  </si>
  <si>
    <t>A1</t>
  </si>
  <si>
    <t>B1</t>
  </si>
  <si>
    <t>C1</t>
  </si>
  <si>
    <t>EXCLUDE - not all individuals reached their Ctmax before the end of the measurement period (12h)</t>
  </si>
  <si>
    <t>A2</t>
  </si>
  <si>
    <t>A</t>
  </si>
  <si>
    <t>B2</t>
  </si>
  <si>
    <t>C2</t>
  </si>
  <si>
    <t>EXCLUDE - not all individuals reached their Ctmax before the end of the measurement period (12h). Reached CTmax betweem 22:47:50 and 7:24:00</t>
  </si>
  <si>
    <t>EXCLUDE - not all individuals reached their Ctmax before the end of the measurement period (12h). Survived beyond 7:24:00 the next day.</t>
  </si>
  <si>
    <t>Exclude</t>
  </si>
  <si>
    <t>yes</t>
  </si>
  <si>
    <t>EXCLUDE - not all individuals reached their Ctmax before the end of the measurement period (12h). One was missed during the trial.</t>
  </si>
  <si>
    <t>EXCLUDE - target temperature was 31.0C, but it was measured as 30.6 during trial. Not sure if the temperature was always too consistent since the thermostat needed calibration.</t>
  </si>
  <si>
    <t>B</t>
  </si>
  <si>
    <t>C</t>
  </si>
  <si>
    <t>no</t>
  </si>
  <si>
    <t>TDT_SL_001</t>
  </si>
  <si>
    <t>TDT_SL_002</t>
  </si>
  <si>
    <t>PP/LP/AB</t>
  </si>
  <si>
    <t>The time to death for one individual was not recorded.</t>
  </si>
  <si>
    <t>Got flushed out so this may have impacted delayed mortality or recovery.</t>
  </si>
  <si>
    <t>One individual got flushed out so this may have impacted delayed mortality or recovery.</t>
  </si>
  <si>
    <t>Tank</t>
  </si>
  <si>
    <t>MT</t>
  </si>
  <si>
    <t>A3</t>
  </si>
  <si>
    <t>B3</t>
  </si>
  <si>
    <t>C3</t>
  </si>
  <si>
    <t>TDT_SL_003</t>
  </si>
  <si>
    <t>Average_ramping_rate</t>
  </si>
  <si>
    <t>Target_ramping_rate</t>
  </si>
  <si>
    <t>Measured_ramping_rate</t>
  </si>
  <si>
    <t>SD_measured_ramping_rate</t>
  </si>
  <si>
    <t>Average_body_mass_individuals</t>
  </si>
  <si>
    <t>Average_mass_sample</t>
  </si>
  <si>
    <t>Average_mass_individual</t>
  </si>
  <si>
    <t>sd_average_mass_individual</t>
  </si>
  <si>
    <t>A4</t>
  </si>
  <si>
    <t>B4</t>
  </si>
  <si>
    <t>C4</t>
  </si>
  <si>
    <t>PP/MT/LP/AB</t>
  </si>
  <si>
    <t>MT/PP</t>
  </si>
  <si>
    <t>PP</t>
  </si>
  <si>
    <t>AB</t>
  </si>
  <si>
    <t>AB/PP</t>
  </si>
  <si>
    <t>PP/ET/AB</t>
  </si>
  <si>
    <t>One individual mostly eaten</t>
  </si>
  <si>
    <t>Third replicate within the same trial day</t>
  </si>
  <si>
    <t xml:space="preserve">Measured with FireSting. See CTMAX_ramping_data for actual ramping rate.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</si>
</sst>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3" x14ac:knownFonts="1">
    <font>
      <sz val="11"/>
      <color theme="1"/>
      <name val="Aptos Narrow"/>
      <family val="2"/>
      <scheme val="minor"/>
    </font>
    <font>
      <b/>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theme="8" tint="0.79998168889431442"/>
        <bgColor indexed="64"/>
      </patternFill>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20" fontId="0" fillId="0" borderId="0" xfId="0" applyNumberFormat="1"/>
    <xf numFmtId="0" fontId="1" fillId="2" borderId="0" xfId="0" applyFont="1" applyFill="1"/>
    <xf numFmtId="21" fontId="0" fillId="0" borderId="0" xfId="0" applyNumberFormat="1"/>
    <xf numFmtId="164" fontId="0" fillId="0" borderId="0" xfId="0" applyNumberFormat="1"/>
    <xf numFmtId="0" fontId="0" fillId="0" borderId="0" xfId="0" applyAlignment="1">
      <alignment horizontal="center" vertical="center"/>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587C0-1DF7-404D-AC92-D873A3E8F343}">
  <dimension ref="A1:N149"/>
  <sheetViews>
    <sheetView tabSelected="1" zoomScale="59" workbookViewId="0">
      <selection activeCell="L1" sqref="L1"/>
    </sheetView>
  </sheetViews>
  <sheetFormatPr defaultRowHeight="14.75" x14ac:dyDescent="0.75"/>
  <cols>
    <col min="1" max="1" width="10.90625" bestFit="1" customWidth="1"/>
    <col min="3" max="3" width="11.08984375" bestFit="1" customWidth="1"/>
    <col min="5" max="5" width="16.7265625" bestFit="1" customWidth="1"/>
    <col min="6" max="6" width="16.08984375" bestFit="1" customWidth="1"/>
    <col min="7" max="7" width="16.08984375" customWidth="1"/>
    <col min="8" max="8" width="16.6328125" bestFit="1" customWidth="1"/>
    <col min="9" max="9" width="19.453125" bestFit="1" customWidth="1"/>
    <col min="10" max="11" width="19.453125" customWidth="1"/>
    <col min="12" max="12" width="21.7265625" bestFit="1" customWidth="1"/>
  </cols>
  <sheetData>
    <row r="1" spans="1:14" s="3" customFormat="1" x14ac:dyDescent="0.75">
      <c r="A1" s="3" t="s">
        <v>0</v>
      </c>
      <c r="B1" s="3" t="s">
        <v>9</v>
      </c>
      <c r="C1" s="3" t="s">
        <v>1</v>
      </c>
      <c r="D1" s="3" t="s">
        <v>6</v>
      </c>
      <c r="E1" s="3" t="s">
        <v>2</v>
      </c>
      <c r="F1" s="3" t="s">
        <v>15</v>
      </c>
      <c r="G1" s="3" t="s">
        <v>86</v>
      </c>
      <c r="H1" s="3" t="s">
        <v>3</v>
      </c>
      <c r="I1" s="3" t="s">
        <v>4</v>
      </c>
      <c r="J1" s="3" t="s">
        <v>10</v>
      </c>
      <c r="K1" s="3" t="s">
        <v>11</v>
      </c>
      <c r="L1" s="3" t="s">
        <v>12</v>
      </c>
      <c r="M1" s="3" t="s">
        <v>5</v>
      </c>
      <c r="N1" s="3" t="s">
        <v>7</v>
      </c>
    </row>
    <row r="2" spans="1:14" x14ac:dyDescent="0.75">
      <c r="A2" s="1">
        <v>45830</v>
      </c>
      <c r="B2" t="s">
        <v>17</v>
      </c>
      <c r="C2" s="2">
        <v>0.50347222222222221</v>
      </c>
      <c r="D2">
        <v>16.399999999999999</v>
      </c>
      <c r="E2">
        <v>30</v>
      </c>
      <c r="F2">
        <v>0.5</v>
      </c>
      <c r="G2">
        <v>1</v>
      </c>
      <c r="H2">
        <f>0/11</f>
        <v>0</v>
      </c>
      <c r="I2">
        <f>0/11</f>
        <v>0</v>
      </c>
      <c r="J2">
        <v>11</v>
      </c>
      <c r="K2">
        <v>11</v>
      </c>
      <c r="L2">
        <v>1.8</v>
      </c>
      <c r="M2" s="2">
        <v>0.36805555555555558</v>
      </c>
      <c r="N2" t="s">
        <v>8</v>
      </c>
    </row>
    <row r="3" spans="1:14" x14ac:dyDescent="0.75">
      <c r="A3" s="1">
        <v>45830</v>
      </c>
      <c r="B3" t="s">
        <v>17</v>
      </c>
      <c r="C3" s="2">
        <v>0.50347222222222221</v>
      </c>
      <c r="D3">
        <v>16.399999999999999</v>
      </c>
      <c r="E3">
        <v>30</v>
      </c>
      <c r="F3">
        <v>0.75</v>
      </c>
      <c r="G3">
        <v>1</v>
      </c>
      <c r="H3">
        <f>0/10</f>
        <v>0</v>
      </c>
      <c r="I3">
        <f>0/10</f>
        <v>0</v>
      </c>
      <c r="J3">
        <v>10</v>
      </c>
      <c r="K3">
        <v>10</v>
      </c>
      <c r="L3">
        <v>1.6</v>
      </c>
      <c r="M3" s="2">
        <v>0.36805555555555558</v>
      </c>
      <c r="N3" t="s">
        <v>8</v>
      </c>
    </row>
    <row r="4" spans="1:14" x14ac:dyDescent="0.75">
      <c r="A4" s="1">
        <v>45830</v>
      </c>
      <c r="B4" t="s">
        <v>17</v>
      </c>
      <c r="C4" s="2">
        <v>0.49305555555555558</v>
      </c>
      <c r="D4">
        <v>16.399999999999999</v>
      </c>
      <c r="E4">
        <v>30</v>
      </c>
      <c r="F4">
        <v>1</v>
      </c>
      <c r="G4">
        <v>1</v>
      </c>
      <c r="H4">
        <f>0/10</f>
        <v>0</v>
      </c>
      <c r="I4">
        <f>0/9</f>
        <v>0</v>
      </c>
      <c r="J4">
        <v>10</v>
      </c>
      <c r="K4">
        <v>9</v>
      </c>
      <c r="L4">
        <v>1.6</v>
      </c>
      <c r="M4" s="2">
        <v>0.36805555555555602</v>
      </c>
      <c r="N4" t="s">
        <v>8</v>
      </c>
    </row>
    <row r="5" spans="1:14" x14ac:dyDescent="0.75">
      <c r="A5" s="1">
        <v>45830</v>
      </c>
      <c r="B5" t="s">
        <v>17</v>
      </c>
      <c r="C5" s="2">
        <v>0.49305555555555558</v>
      </c>
      <c r="D5">
        <v>16.399999999999999</v>
      </c>
      <c r="E5">
        <v>30</v>
      </c>
      <c r="F5">
        <v>2</v>
      </c>
      <c r="G5">
        <v>1</v>
      </c>
      <c r="H5">
        <f>1/11</f>
        <v>9.0909090909090912E-2</v>
      </c>
      <c r="I5">
        <f>1/11</f>
        <v>9.0909090909090912E-2</v>
      </c>
      <c r="J5">
        <v>11</v>
      </c>
      <c r="K5">
        <v>11</v>
      </c>
      <c r="L5">
        <v>2.2000000000000002</v>
      </c>
      <c r="M5" s="2">
        <v>0.36805555555555602</v>
      </c>
      <c r="N5" t="s">
        <v>8</v>
      </c>
    </row>
    <row r="6" spans="1:14" x14ac:dyDescent="0.75">
      <c r="A6" s="1">
        <v>45830</v>
      </c>
      <c r="B6" t="s">
        <v>17</v>
      </c>
      <c r="C6" s="2">
        <v>0.48333333333333334</v>
      </c>
      <c r="D6">
        <v>16.399999999999999</v>
      </c>
      <c r="E6">
        <v>30</v>
      </c>
      <c r="F6">
        <v>4</v>
      </c>
      <c r="G6">
        <v>1</v>
      </c>
      <c r="H6">
        <f>5/10</f>
        <v>0.5</v>
      </c>
      <c r="I6">
        <f>5/10</f>
        <v>0.5</v>
      </c>
      <c r="J6">
        <v>10</v>
      </c>
      <c r="K6">
        <v>10</v>
      </c>
      <c r="L6">
        <v>1.7</v>
      </c>
      <c r="M6" s="2">
        <v>0.36805555555555602</v>
      </c>
      <c r="N6" t="s">
        <v>8</v>
      </c>
    </row>
    <row r="7" spans="1:14" x14ac:dyDescent="0.75">
      <c r="A7" s="1">
        <v>45830</v>
      </c>
      <c r="B7" t="s">
        <v>17</v>
      </c>
      <c r="C7" s="2">
        <v>0.48333333333333334</v>
      </c>
      <c r="D7">
        <v>16.399999999999999</v>
      </c>
      <c r="E7">
        <v>30</v>
      </c>
      <c r="F7">
        <v>6</v>
      </c>
      <c r="G7">
        <v>1</v>
      </c>
      <c r="H7">
        <f>3/10</f>
        <v>0.3</v>
      </c>
      <c r="I7">
        <f>3/10</f>
        <v>0.3</v>
      </c>
      <c r="J7">
        <v>10</v>
      </c>
      <c r="K7">
        <v>10</v>
      </c>
      <c r="L7">
        <v>2.2000000000000002</v>
      </c>
      <c r="M7" s="2">
        <v>0.36805555555555602</v>
      </c>
      <c r="N7" t="s">
        <v>8</v>
      </c>
    </row>
    <row r="8" spans="1:14" x14ac:dyDescent="0.75">
      <c r="A8" s="1">
        <v>45830</v>
      </c>
      <c r="B8" t="s">
        <v>17</v>
      </c>
      <c r="C8" s="2">
        <v>0.50347222222222221</v>
      </c>
      <c r="D8">
        <v>16.399999999999999</v>
      </c>
      <c r="E8">
        <v>30.5</v>
      </c>
      <c r="F8">
        <v>0.5</v>
      </c>
      <c r="G8">
        <v>2</v>
      </c>
      <c r="H8">
        <f>0/10</f>
        <v>0</v>
      </c>
      <c r="I8">
        <f>0/10</f>
        <v>0</v>
      </c>
      <c r="J8">
        <v>10</v>
      </c>
      <c r="K8">
        <v>10</v>
      </c>
      <c r="L8">
        <v>2</v>
      </c>
      <c r="M8" s="2">
        <v>0.36805555555555602</v>
      </c>
      <c r="N8" t="s">
        <v>8</v>
      </c>
    </row>
    <row r="9" spans="1:14" x14ac:dyDescent="0.75">
      <c r="A9" s="1">
        <v>45830</v>
      </c>
      <c r="B9" t="s">
        <v>17</v>
      </c>
      <c r="C9" s="2">
        <v>0.50347222222222221</v>
      </c>
      <c r="D9">
        <v>16.399999999999999</v>
      </c>
      <c r="E9">
        <v>30.5</v>
      </c>
      <c r="F9">
        <v>0.75</v>
      </c>
      <c r="G9">
        <v>2</v>
      </c>
      <c r="H9">
        <f>0/10</f>
        <v>0</v>
      </c>
      <c r="I9">
        <f>0/10</f>
        <v>0</v>
      </c>
      <c r="J9">
        <v>10</v>
      </c>
      <c r="K9">
        <v>10</v>
      </c>
      <c r="L9">
        <v>2.7</v>
      </c>
      <c r="M9" s="2">
        <v>0.36805555555555602</v>
      </c>
      <c r="N9" t="s">
        <v>8</v>
      </c>
    </row>
    <row r="10" spans="1:14" x14ac:dyDescent="0.75">
      <c r="A10" s="1">
        <v>45830</v>
      </c>
      <c r="B10" t="s">
        <v>17</v>
      </c>
      <c r="C10" s="2">
        <v>0.49305555555555558</v>
      </c>
      <c r="D10">
        <v>16.399999999999999</v>
      </c>
      <c r="E10">
        <v>30.5</v>
      </c>
      <c r="F10">
        <v>1</v>
      </c>
      <c r="G10">
        <v>2</v>
      </c>
      <c r="H10">
        <f>0/10</f>
        <v>0</v>
      </c>
      <c r="I10">
        <f>1/10</f>
        <v>0.1</v>
      </c>
      <c r="J10">
        <v>10</v>
      </c>
      <c r="K10">
        <v>10</v>
      </c>
      <c r="L10">
        <v>2.4</v>
      </c>
      <c r="M10" s="2">
        <v>0.36805555555555602</v>
      </c>
      <c r="N10" t="s">
        <v>8</v>
      </c>
    </row>
    <row r="11" spans="1:14" x14ac:dyDescent="0.75">
      <c r="A11" s="1">
        <v>45830</v>
      </c>
      <c r="B11" t="s">
        <v>17</v>
      </c>
      <c r="C11" s="2">
        <v>0.49305555555555558</v>
      </c>
      <c r="D11">
        <v>16.399999999999999</v>
      </c>
      <c r="E11">
        <v>30.5</v>
      </c>
      <c r="F11">
        <v>2</v>
      </c>
      <c r="G11">
        <v>2</v>
      </c>
      <c r="H11">
        <f>2/10</f>
        <v>0.2</v>
      </c>
      <c r="I11">
        <f>2/10</f>
        <v>0.2</v>
      </c>
      <c r="J11">
        <v>10</v>
      </c>
      <c r="K11">
        <v>10</v>
      </c>
      <c r="L11">
        <v>2.2000000000000002</v>
      </c>
      <c r="M11" s="2">
        <v>0.36805555555555602</v>
      </c>
      <c r="N11" t="s">
        <v>8</v>
      </c>
    </row>
    <row r="12" spans="1:14" x14ac:dyDescent="0.75">
      <c r="A12" s="1">
        <v>45830</v>
      </c>
      <c r="B12" t="s">
        <v>17</v>
      </c>
      <c r="C12" s="2">
        <v>0.48333333333333334</v>
      </c>
      <c r="D12">
        <v>16.399999999999999</v>
      </c>
      <c r="E12">
        <v>30.5</v>
      </c>
      <c r="F12">
        <v>4</v>
      </c>
      <c r="G12">
        <v>2</v>
      </c>
      <c r="H12">
        <f>5/10</f>
        <v>0.5</v>
      </c>
      <c r="I12">
        <f>5/10</f>
        <v>0.5</v>
      </c>
      <c r="J12">
        <v>10</v>
      </c>
      <c r="K12">
        <v>10</v>
      </c>
      <c r="L12">
        <v>2.4</v>
      </c>
      <c r="M12" s="2">
        <v>0.36805555555555602</v>
      </c>
      <c r="N12" t="s">
        <v>8</v>
      </c>
    </row>
    <row r="13" spans="1:14" x14ac:dyDescent="0.75">
      <c r="A13" s="1">
        <v>45830</v>
      </c>
      <c r="B13" t="s">
        <v>17</v>
      </c>
      <c r="C13" s="2">
        <v>0.48333333333333334</v>
      </c>
      <c r="D13">
        <v>16.399999999999999</v>
      </c>
      <c r="E13">
        <v>30.5</v>
      </c>
      <c r="F13">
        <v>6</v>
      </c>
      <c r="G13">
        <v>2</v>
      </c>
      <c r="H13">
        <f>7/10</f>
        <v>0.7</v>
      </c>
      <c r="I13">
        <f>7/10</f>
        <v>0.7</v>
      </c>
      <c r="J13">
        <v>10</v>
      </c>
      <c r="K13">
        <v>10</v>
      </c>
      <c r="L13">
        <v>2.5</v>
      </c>
      <c r="M13" s="2">
        <v>0.36805555555555602</v>
      </c>
      <c r="N13" t="s">
        <v>8</v>
      </c>
    </row>
    <row r="14" spans="1:14" x14ac:dyDescent="0.75">
      <c r="A14" s="1">
        <v>45830</v>
      </c>
      <c r="B14" t="s">
        <v>17</v>
      </c>
      <c r="C14" s="2">
        <v>0.50347222222222221</v>
      </c>
      <c r="D14">
        <v>16.399999999999999</v>
      </c>
      <c r="E14">
        <v>31</v>
      </c>
      <c r="F14">
        <v>0.5</v>
      </c>
      <c r="G14">
        <v>3</v>
      </c>
      <c r="H14">
        <f>0/10</f>
        <v>0</v>
      </c>
      <c r="I14">
        <f>1/10</f>
        <v>0.1</v>
      </c>
      <c r="J14">
        <v>10</v>
      </c>
      <c r="K14">
        <v>10</v>
      </c>
      <c r="L14">
        <v>2.5</v>
      </c>
      <c r="M14" s="2">
        <v>0.36805555555555602</v>
      </c>
      <c r="N14" t="s">
        <v>8</v>
      </c>
    </row>
    <row r="15" spans="1:14" x14ac:dyDescent="0.75">
      <c r="A15" s="1">
        <v>45830</v>
      </c>
      <c r="B15" t="s">
        <v>17</v>
      </c>
      <c r="C15" s="2">
        <v>0.50347222222222221</v>
      </c>
      <c r="D15">
        <v>16.399999999999999</v>
      </c>
      <c r="E15">
        <v>31</v>
      </c>
      <c r="F15">
        <v>0.75</v>
      </c>
      <c r="G15">
        <v>3</v>
      </c>
      <c r="H15">
        <f>1/10</f>
        <v>0.1</v>
      </c>
      <c r="I15">
        <f>1/10</f>
        <v>0.1</v>
      </c>
      <c r="J15">
        <v>10</v>
      </c>
      <c r="K15">
        <v>10</v>
      </c>
      <c r="L15">
        <v>1.2</v>
      </c>
      <c r="M15" s="2">
        <v>0.36805555555555602</v>
      </c>
      <c r="N15" t="s">
        <v>8</v>
      </c>
    </row>
    <row r="16" spans="1:14" x14ac:dyDescent="0.75">
      <c r="A16" s="1">
        <v>45830</v>
      </c>
      <c r="B16" t="s">
        <v>17</v>
      </c>
      <c r="C16" s="2">
        <v>0.49305555555555558</v>
      </c>
      <c r="D16">
        <v>16.399999999999999</v>
      </c>
      <c r="E16">
        <v>31</v>
      </c>
      <c r="F16">
        <v>1</v>
      </c>
      <c r="G16">
        <v>3</v>
      </c>
      <c r="H16">
        <f>0/10</f>
        <v>0</v>
      </c>
      <c r="I16">
        <f>0/10</f>
        <v>0</v>
      </c>
      <c r="J16">
        <v>10</v>
      </c>
      <c r="K16">
        <v>10</v>
      </c>
      <c r="L16">
        <v>2</v>
      </c>
      <c r="M16" s="2">
        <v>0.36805555555555602</v>
      </c>
      <c r="N16" t="s">
        <v>8</v>
      </c>
    </row>
    <row r="17" spans="1:14" x14ac:dyDescent="0.75">
      <c r="A17" s="1">
        <v>45830</v>
      </c>
      <c r="B17" t="s">
        <v>17</v>
      </c>
      <c r="C17" s="2">
        <v>0.49305555555555558</v>
      </c>
      <c r="D17">
        <v>16.399999999999999</v>
      </c>
      <c r="E17">
        <v>31</v>
      </c>
      <c r="F17">
        <v>2</v>
      </c>
      <c r="G17">
        <v>3</v>
      </c>
      <c r="H17">
        <f>3/11</f>
        <v>0.27272727272727271</v>
      </c>
      <c r="I17">
        <f>3/11</f>
        <v>0.27272727272727271</v>
      </c>
      <c r="J17">
        <v>11</v>
      </c>
      <c r="K17">
        <v>11</v>
      </c>
      <c r="L17">
        <v>2.7</v>
      </c>
      <c r="M17" s="2">
        <v>0.36805555555555602</v>
      </c>
      <c r="N17" t="s">
        <v>8</v>
      </c>
    </row>
    <row r="18" spans="1:14" x14ac:dyDescent="0.75">
      <c r="A18" s="1">
        <v>45830</v>
      </c>
      <c r="B18" t="s">
        <v>17</v>
      </c>
      <c r="C18" s="2">
        <v>0.48333333333333334</v>
      </c>
      <c r="D18">
        <v>16.399999999999999</v>
      </c>
      <c r="E18">
        <v>31</v>
      </c>
      <c r="F18">
        <v>4</v>
      </c>
      <c r="G18">
        <v>3</v>
      </c>
      <c r="H18">
        <f>7/10</f>
        <v>0.7</v>
      </c>
      <c r="I18">
        <f>7/10</f>
        <v>0.7</v>
      </c>
      <c r="J18">
        <v>10</v>
      </c>
      <c r="K18">
        <v>10</v>
      </c>
      <c r="L18">
        <v>2</v>
      </c>
      <c r="M18" s="2">
        <v>0.36805555555555602</v>
      </c>
      <c r="N18" t="s">
        <v>8</v>
      </c>
    </row>
    <row r="19" spans="1:14" x14ac:dyDescent="0.75">
      <c r="A19" s="1">
        <v>45830</v>
      </c>
      <c r="B19" t="s">
        <v>17</v>
      </c>
      <c r="C19" s="2">
        <v>0.48333333333333334</v>
      </c>
      <c r="D19">
        <v>16.399999999999999</v>
      </c>
      <c r="E19">
        <v>31</v>
      </c>
      <c r="F19">
        <v>6</v>
      </c>
      <c r="G19">
        <v>3</v>
      </c>
      <c r="H19">
        <f>9/10</f>
        <v>0.9</v>
      </c>
      <c r="I19">
        <f>8/10</f>
        <v>0.8</v>
      </c>
      <c r="J19">
        <v>10</v>
      </c>
      <c r="K19">
        <v>10</v>
      </c>
      <c r="L19">
        <v>1.9</v>
      </c>
      <c r="M19" s="2">
        <v>0.36805555555555602</v>
      </c>
      <c r="N19" t="s">
        <v>8</v>
      </c>
    </row>
    <row r="20" spans="1:14" x14ac:dyDescent="0.75">
      <c r="A20" s="1">
        <v>45830</v>
      </c>
      <c r="B20" t="s">
        <v>17</v>
      </c>
      <c r="C20" s="2">
        <v>0.50347222222222221</v>
      </c>
      <c r="D20">
        <v>16.399999999999999</v>
      </c>
      <c r="E20">
        <v>31.5</v>
      </c>
      <c r="F20">
        <v>0.5</v>
      </c>
      <c r="G20">
        <v>4</v>
      </c>
      <c r="H20">
        <f>2/10</f>
        <v>0.2</v>
      </c>
      <c r="I20">
        <f>2/10</f>
        <v>0.2</v>
      </c>
      <c r="J20">
        <v>10</v>
      </c>
      <c r="K20">
        <v>10</v>
      </c>
      <c r="L20">
        <v>1.6</v>
      </c>
      <c r="M20" s="2">
        <v>0.36805555555555602</v>
      </c>
      <c r="N20" t="s">
        <v>8</v>
      </c>
    </row>
    <row r="21" spans="1:14" x14ac:dyDescent="0.75">
      <c r="A21" s="1">
        <v>45830</v>
      </c>
      <c r="B21" t="s">
        <v>17</v>
      </c>
      <c r="C21" s="2">
        <v>0.50347222222222221</v>
      </c>
      <c r="D21">
        <v>16.399999999999999</v>
      </c>
      <c r="E21">
        <v>31.5</v>
      </c>
      <c r="F21">
        <v>0.75</v>
      </c>
      <c r="G21">
        <v>4</v>
      </c>
      <c r="H21">
        <f>2/10</f>
        <v>0.2</v>
      </c>
      <c r="I21">
        <f>2/10</f>
        <v>0.2</v>
      </c>
      <c r="J21">
        <v>10</v>
      </c>
      <c r="K21">
        <v>10</v>
      </c>
      <c r="L21">
        <v>2.7</v>
      </c>
      <c r="M21" s="2">
        <v>0.36805555555555602</v>
      </c>
      <c r="N21" t="s">
        <v>8</v>
      </c>
    </row>
    <row r="22" spans="1:14" x14ac:dyDescent="0.75">
      <c r="A22" s="1">
        <v>45830</v>
      </c>
      <c r="B22" t="s">
        <v>17</v>
      </c>
      <c r="C22" s="2">
        <v>0.49305555555555558</v>
      </c>
      <c r="D22">
        <v>16.399999999999999</v>
      </c>
      <c r="E22">
        <v>31.5</v>
      </c>
      <c r="F22">
        <v>1</v>
      </c>
      <c r="G22">
        <v>4</v>
      </c>
      <c r="H22">
        <f>1/10</f>
        <v>0.1</v>
      </c>
      <c r="I22">
        <f>2/10</f>
        <v>0.2</v>
      </c>
      <c r="J22">
        <v>10</v>
      </c>
      <c r="K22">
        <v>10</v>
      </c>
      <c r="L22">
        <v>1.4</v>
      </c>
      <c r="M22" s="2">
        <v>0.36805555555555602</v>
      </c>
      <c r="N22" t="s">
        <v>8</v>
      </c>
    </row>
    <row r="23" spans="1:14" x14ac:dyDescent="0.75">
      <c r="A23" s="1">
        <v>45830</v>
      </c>
      <c r="B23" t="s">
        <v>17</v>
      </c>
      <c r="C23" s="2">
        <v>0.49305555555555558</v>
      </c>
      <c r="D23">
        <v>16.399999999999999</v>
      </c>
      <c r="E23">
        <v>31.5</v>
      </c>
      <c r="F23">
        <v>2</v>
      </c>
      <c r="G23">
        <v>4</v>
      </c>
      <c r="H23">
        <f>4/10</f>
        <v>0.4</v>
      </c>
      <c r="I23">
        <f>5/10</f>
        <v>0.5</v>
      </c>
      <c r="J23">
        <v>10</v>
      </c>
      <c r="K23">
        <v>10</v>
      </c>
      <c r="L23">
        <v>1.4</v>
      </c>
      <c r="M23" s="2">
        <v>0.36805555555555602</v>
      </c>
      <c r="N23" t="s">
        <v>8</v>
      </c>
    </row>
    <row r="24" spans="1:14" x14ac:dyDescent="0.75">
      <c r="A24" s="1">
        <v>45830</v>
      </c>
      <c r="B24" t="s">
        <v>17</v>
      </c>
      <c r="C24" s="2">
        <v>0.48333333333333334</v>
      </c>
      <c r="D24">
        <v>16.399999999999999</v>
      </c>
      <c r="E24">
        <v>31.5</v>
      </c>
      <c r="F24">
        <v>4</v>
      </c>
      <c r="G24">
        <v>4</v>
      </c>
      <c r="H24">
        <f>9/10</f>
        <v>0.9</v>
      </c>
      <c r="I24">
        <f>9/10</f>
        <v>0.9</v>
      </c>
      <c r="J24">
        <v>10</v>
      </c>
      <c r="K24">
        <v>10</v>
      </c>
      <c r="L24">
        <v>1.8</v>
      </c>
      <c r="M24" s="2">
        <v>0.36805555555555602</v>
      </c>
      <c r="N24" t="s">
        <v>8</v>
      </c>
    </row>
    <row r="25" spans="1:14" x14ac:dyDescent="0.75">
      <c r="A25" s="1">
        <v>45830</v>
      </c>
      <c r="B25" t="s">
        <v>17</v>
      </c>
      <c r="C25" s="2">
        <v>0.48333333333333334</v>
      </c>
      <c r="D25">
        <v>16.399999999999999</v>
      </c>
      <c r="E25">
        <v>31.5</v>
      </c>
      <c r="F25">
        <v>6</v>
      </c>
      <c r="G25">
        <v>4</v>
      </c>
      <c r="H25">
        <f>11/11</f>
        <v>1</v>
      </c>
      <c r="I25">
        <f>11/11</f>
        <v>1</v>
      </c>
      <c r="J25">
        <v>11</v>
      </c>
      <c r="K25">
        <v>11</v>
      </c>
      <c r="L25">
        <v>1.9</v>
      </c>
      <c r="M25" s="2">
        <v>0.36805555555555602</v>
      </c>
      <c r="N25" t="s">
        <v>8</v>
      </c>
    </row>
    <row r="26" spans="1:14" x14ac:dyDescent="0.75">
      <c r="A26" s="1">
        <v>45830</v>
      </c>
      <c r="B26" t="s">
        <v>16</v>
      </c>
      <c r="C26" s="2">
        <v>0.65208333333333335</v>
      </c>
      <c r="D26">
        <v>16.100000000000001</v>
      </c>
      <c r="E26">
        <v>32</v>
      </c>
      <c r="F26">
        <v>0.5</v>
      </c>
      <c r="G26">
        <v>5</v>
      </c>
      <c r="H26">
        <f>3/11</f>
        <v>0.27272727272727271</v>
      </c>
      <c r="I26">
        <f>2/11</f>
        <v>0.18181818181818182</v>
      </c>
      <c r="J26">
        <v>11</v>
      </c>
      <c r="K26">
        <v>11</v>
      </c>
      <c r="L26">
        <v>1.7</v>
      </c>
      <c r="M26" s="2">
        <v>0.36805555555555558</v>
      </c>
      <c r="N26" t="s">
        <v>19</v>
      </c>
    </row>
    <row r="27" spans="1:14" x14ac:dyDescent="0.75">
      <c r="A27" s="1">
        <v>45830</v>
      </c>
      <c r="B27" t="s">
        <v>17</v>
      </c>
      <c r="C27" s="2">
        <v>0.50347222222222221</v>
      </c>
      <c r="D27">
        <v>16.399999999999999</v>
      </c>
      <c r="E27">
        <v>32</v>
      </c>
      <c r="F27">
        <v>0.75</v>
      </c>
      <c r="G27">
        <v>5</v>
      </c>
      <c r="H27">
        <f>7/9</f>
        <v>0.77777777777777779</v>
      </c>
      <c r="I27">
        <f>7/9</f>
        <v>0.77777777777777779</v>
      </c>
      <c r="J27">
        <v>9</v>
      </c>
      <c r="K27">
        <v>9</v>
      </c>
      <c r="L27">
        <v>2.2000000000000002</v>
      </c>
      <c r="M27" s="2">
        <v>0.36805555555555602</v>
      </c>
      <c r="N27" t="s">
        <v>8</v>
      </c>
    </row>
    <row r="28" spans="1:14" x14ac:dyDescent="0.75">
      <c r="A28" s="1">
        <v>45830</v>
      </c>
      <c r="B28" t="s">
        <v>17</v>
      </c>
      <c r="C28" s="2">
        <v>0.49305555555555558</v>
      </c>
      <c r="D28">
        <v>16.399999999999999</v>
      </c>
      <c r="E28">
        <v>32</v>
      </c>
      <c r="F28">
        <v>1</v>
      </c>
      <c r="G28">
        <v>5</v>
      </c>
      <c r="H28">
        <f>7/11</f>
        <v>0.63636363636363635</v>
      </c>
      <c r="I28">
        <f>8/11</f>
        <v>0.72727272727272729</v>
      </c>
      <c r="J28">
        <v>11</v>
      </c>
      <c r="K28">
        <v>11</v>
      </c>
      <c r="L28">
        <v>2.4</v>
      </c>
      <c r="M28" s="2">
        <v>0.36805555555555602</v>
      </c>
      <c r="N28" t="s">
        <v>8</v>
      </c>
    </row>
    <row r="29" spans="1:14" x14ac:dyDescent="0.75">
      <c r="A29" s="1">
        <v>45830</v>
      </c>
      <c r="B29" t="s">
        <v>17</v>
      </c>
      <c r="C29" s="2">
        <v>0.49305555555555558</v>
      </c>
      <c r="D29">
        <v>16.399999999999999</v>
      </c>
      <c r="E29">
        <v>32</v>
      </c>
      <c r="F29">
        <v>2</v>
      </c>
      <c r="G29">
        <v>5</v>
      </c>
      <c r="H29">
        <f t="shared" ref="H29:I31" si="0">10/10</f>
        <v>1</v>
      </c>
      <c r="I29">
        <f t="shared" si="0"/>
        <v>1</v>
      </c>
      <c r="J29">
        <v>10</v>
      </c>
      <c r="K29">
        <v>10</v>
      </c>
      <c r="L29">
        <v>3</v>
      </c>
      <c r="M29" s="2">
        <v>0.36805555555555602</v>
      </c>
      <c r="N29" t="s">
        <v>8</v>
      </c>
    </row>
    <row r="30" spans="1:14" x14ac:dyDescent="0.75">
      <c r="A30" s="1">
        <v>45831</v>
      </c>
      <c r="B30" t="s">
        <v>16</v>
      </c>
      <c r="C30" s="2">
        <v>0.52777777777777779</v>
      </c>
      <c r="D30">
        <v>16.100000000000001</v>
      </c>
      <c r="E30">
        <v>32</v>
      </c>
      <c r="F30">
        <v>4</v>
      </c>
      <c r="G30">
        <v>5</v>
      </c>
      <c r="H30">
        <f t="shared" si="0"/>
        <v>1</v>
      </c>
      <c r="I30">
        <f t="shared" si="0"/>
        <v>1</v>
      </c>
      <c r="J30">
        <v>10</v>
      </c>
      <c r="K30">
        <v>10</v>
      </c>
      <c r="L30">
        <v>1.6</v>
      </c>
      <c r="M30" s="2">
        <v>0.35416666666666669</v>
      </c>
      <c r="N30" t="s">
        <v>18</v>
      </c>
    </row>
    <row r="31" spans="1:14" x14ac:dyDescent="0.75">
      <c r="A31" s="1">
        <v>45830</v>
      </c>
      <c r="B31" t="s">
        <v>17</v>
      </c>
      <c r="C31" s="2">
        <v>0.48333333333333334</v>
      </c>
      <c r="D31">
        <v>16.399999999999999</v>
      </c>
      <c r="E31">
        <v>32</v>
      </c>
      <c r="F31">
        <v>6</v>
      </c>
      <c r="G31">
        <v>5</v>
      </c>
      <c r="H31">
        <f t="shared" si="0"/>
        <v>1</v>
      </c>
      <c r="I31">
        <f t="shared" si="0"/>
        <v>1</v>
      </c>
      <c r="J31">
        <v>10</v>
      </c>
      <c r="K31">
        <v>10</v>
      </c>
      <c r="L31">
        <v>2.4</v>
      </c>
      <c r="M31" s="2">
        <v>0.36805555555555602</v>
      </c>
      <c r="N31" t="s">
        <v>8</v>
      </c>
    </row>
    <row r="32" spans="1:14" x14ac:dyDescent="0.75">
      <c r="A32" s="1">
        <v>45830</v>
      </c>
      <c r="B32" t="s">
        <v>17</v>
      </c>
      <c r="C32" s="2">
        <v>0.50347222222222221</v>
      </c>
      <c r="D32">
        <v>16.399999999999999</v>
      </c>
      <c r="E32">
        <v>32.5</v>
      </c>
      <c r="F32">
        <v>0.5</v>
      </c>
      <c r="G32">
        <v>6</v>
      </c>
      <c r="H32">
        <f>9/10</f>
        <v>0.9</v>
      </c>
      <c r="I32">
        <f>6/9</f>
        <v>0.66666666666666663</v>
      </c>
      <c r="J32">
        <v>10</v>
      </c>
      <c r="K32">
        <v>9</v>
      </c>
      <c r="L32">
        <v>1.9</v>
      </c>
      <c r="M32" s="2">
        <v>0.36805555555555602</v>
      </c>
      <c r="N32" t="s">
        <v>8</v>
      </c>
    </row>
    <row r="33" spans="1:14" x14ac:dyDescent="0.75">
      <c r="A33" s="1">
        <v>45830</v>
      </c>
      <c r="B33" t="s">
        <v>17</v>
      </c>
      <c r="C33" s="2">
        <v>0.50347222222222221</v>
      </c>
      <c r="D33">
        <v>16.399999999999999</v>
      </c>
      <c r="E33">
        <v>32.5</v>
      </c>
      <c r="F33">
        <v>0.75</v>
      </c>
      <c r="G33">
        <v>6</v>
      </c>
      <c r="H33">
        <f>9/10</f>
        <v>0.9</v>
      </c>
      <c r="I33">
        <f>9/10</f>
        <v>0.9</v>
      </c>
      <c r="J33">
        <v>10</v>
      </c>
      <c r="K33">
        <v>10</v>
      </c>
      <c r="L33">
        <v>1.6</v>
      </c>
      <c r="M33" s="2">
        <v>0.36805555555555602</v>
      </c>
      <c r="N33" t="s">
        <v>8</v>
      </c>
    </row>
    <row r="34" spans="1:14" x14ac:dyDescent="0.75">
      <c r="A34" s="1">
        <v>45830</v>
      </c>
      <c r="B34" t="s">
        <v>17</v>
      </c>
      <c r="C34" s="2">
        <v>0.49305555555555558</v>
      </c>
      <c r="D34">
        <v>16.399999999999999</v>
      </c>
      <c r="E34">
        <v>32.5</v>
      </c>
      <c r="F34">
        <v>1</v>
      </c>
      <c r="G34">
        <v>6</v>
      </c>
      <c r="H34">
        <f>8/11</f>
        <v>0.72727272727272729</v>
      </c>
      <c r="I34">
        <f>8/11</f>
        <v>0.72727272727272729</v>
      </c>
      <c r="J34">
        <v>11</v>
      </c>
      <c r="K34">
        <v>11</v>
      </c>
      <c r="L34">
        <v>1.6</v>
      </c>
      <c r="M34" s="2">
        <v>0.36805555555555602</v>
      </c>
      <c r="N34" t="s">
        <v>13</v>
      </c>
    </row>
    <row r="35" spans="1:14" x14ac:dyDescent="0.75">
      <c r="A35" s="1">
        <v>45830</v>
      </c>
      <c r="B35" t="s">
        <v>17</v>
      </c>
      <c r="C35" s="2">
        <v>0.49305555555555558</v>
      </c>
      <c r="D35">
        <v>16.399999999999999</v>
      </c>
      <c r="E35">
        <v>32.5</v>
      </c>
      <c r="F35">
        <v>2</v>
      </c>
      <c r="G35">
        <v>6</v>
      </c>
      <c r="H35">
        <f>11/11</f>
        <v>1</v>
      </c>
      <c r="I35">
        <f>11/11</f>
        <v>1</v>
      </c>
      <c r="J35">
        <v>11</v>
      </c>
      <c r="K35">
        <v>11</v>
      </c>
      <c r="L35">
        <v>1.8</v>
      </c>
      <c r="M35" s="2">
        <v>0.36805555555555602</v>
      </c>
      <c r="N35" t="s">
        <v>8</v>
      </c>
    </row>
    <row r="36" spans="1:14" x14ac:dyDescent="0.75">
      <c r="A36" s="1">
        <v>45830</v>
      </c>
      <c r="B36" t="s">
        <v>17</v>
      </c>
      <c r="C36" s="2">
        <v>0.48333333333333334</v>
      </c>
      <c r="D36">
        <v>16.399999999999999</v>
      </c>
      <c r="E36">
        <v>32.5</v>
      </c>
      <c r="F36">
        <v>4</v>
      </c>
      <c r="G36">
        <v>6</v>
      </c>
      <c r="H36">
        <f>10/10</f>
        <v>1</v>
      </c>
      <c r="I36">
        <f>10/10</f>
        <v>1</v>
      </c>
      <c r="J36">
        <v>10</v>
      </c>
      <c r="K36">
        <v>10</v>
      </c>
      <c r="L36">
        <v>2.2000000000000002</v>
      </c>
      <c r="M36" s="2">
        <v>0.36805555555555602</v>
      </c>
      <c r="N36" t="s">
        <v>8</v>
      </c>
    </row>
    <row r="37" spans="1:14" x14ac:dyDescent="0.75">
      <c r="A37" s="1">
        <v>45830</v>
      </c>
      <c r="B37" t="s">
        <v>17</v>
      </c>
      <c r="C37" s="2">
        <v>0.48333333333333334</v>
      </c>
      <c r="D37">
        <v>16.399999999999999</v>
      </c>
      <c r="E37">
        <v>32.5</v>
      </c>
      <c r="F37">
        <v>6</v>
      </c>
      <c r="G37">
        <v>6</v>
      </c>
      <c r="H37">
        <f>11/11</f>
        <v>1</v>
      </c>
      <c r="I37">
        <f>11/11</f>
        <v>1</v>
      </c>
      <c r="J37">
        <v>11</v>
      </c>
      <c r="K37">
        <v>11</v>
      </c>
      <c r="L37">
        <v>1.3</v>
      </c>
      <c r="M37" s="2">
        <v>0.36805555555555602</v>
      </c>
      <c r="N37" t="s">
        <v>8</v>
      </c>
    </row>
    <row r="38" spans="1:14" x14ac:dyDescent="0.75">
      <c r="A38" s="1">
        <v>45830</v>
      </c>
      <c r="B38" t="s">
        <v>16</v>
      </c>
      <c r="C38" s="2">
        <v>0.65208333333333335</v>
      </c>
      <c r="D38">
        <v>16.399999999999999</v>
      </c>
      <c r="E38">
        <v>30</v>
      </c>
      <c r="F38">
        <v>0.5</v>
      </c>
      <c r="G38">
        <v>1</v>
      </c>
      <c r="H38">
        <f>0/11</f>
        <v>0</v>
      </c>
      <c r="I38">
        <f>0/11</f>
        <v>0</v>
      </c>
      <c r="J38">
        <v>11</v>
      </c>
      <c r="K38">
        <v>11</v>
      </c>
      <c r="L38">
        <v>2.6</v>
      </c>
      <c r="M38" s="2">
        <v>0.36805555555555558</v>
      </c>
      <c r="N38" t="s">
        <v>14</v>
      </c>
    </row>
    <row r="39" spans="1:14" x14ac:dyDescent="0.75">
      <c r="A39" s="1">
        <v>45831</v>
      </c>
      <c r="B39" t="s">
        <v>16</v>
      </c>
      <c r="C39" s="2">
        <v>0.63402777777777775</v>
      </c>
      <c r="D39">
        <v>16.100000000000001</v>
      </c>
      <c r="E39">
        <v>30</v>
      </c>
      <c r="F39">
        <v>0.75</v>
      </c>
      <c r="G39">
        <v>1</v>
      </c>
      <c r="H39">
        <f>0/10</f>
        <v>0</v>
      </c>
      <c r="I39">
        <f>0/9</f>
        <v>0</v>
      </c>
      <c r="J39">
        <v>10</v>
      </c>
      <c r="K39">
        <v>9</v>
      </c>
      <c r="L39">
        <v>1.5</v>
      </c>
      <c r="M39" s="2">
        <v>0.35416666666666669</v>
      </c>
      <c r="N39" t="s">
        <v>8</v>
      </c>
    </row>
    <row r="40" spans="1:14" x14ac:dyDescent="0.75">
      <c r="A40" s="1">
        <v>45831</v>
      </c>
      <c r="B40" t="s">
        <v>16</v>
      </c>
      <c r="C40" s="2">
        <v>0.63194444444444442</v>
      </c>
      <c r="D40">
        <v>16.100000000000001</v>
      </c>
      <c r="E40">
        <v>30</v>
      </c>
      <c r="F40">
        <v>1</v>
      </c>
      <c r="G40">
        <v>1</v>
      </c>
      <c r="H40">
        <f>1/10</f>
        <v>0.1</v>
      </c>
      <c r="I40">
        <f>1/10</f>
        <v>0.1</v>
      </c>
      <c r="J40">
        <v>10</v>
      </c>
      <c r="K40">
        <v>10</v>
      </c>
      <c r="L40">
        <v>2.4</v>
      </c>
      <c r="M40" s="2">
        <v>0.35416666666666669</v>
      </c>
      <c r="N40" t="s">
        <v>8</v>
      </c>
    </row>
    <row r="41" spans="1:14" x14ac:dyDescent="0.75">
      <c r="A41" s="1">
        <v>45831</v>
      </c>
      <c r="B41" t="s">
        <v>16</v>
      </c>
      <c r="C41" s="2">
        <v>0.55347222222222225</v>
      </c>
      <c r="D41">
        <v>16.100000000000001</v>
      </c>
      <c r="E41">
        <v>30</v>
      </c>
      <c r="F41">
        <v>2</v>
      </c>
      <c r="G41">
        <v>1</v>
      </c>
      <c r="H41">
        <f>3/10</f>
        <v>0.3</v>
      </c>
      <c r="I41">
        <f>3/10</f>
        <v>0.3</v>
      </c>
      <c r="J41">
        <v>10</v>
      </c>
      <c r="K41">
        <v>10</v>
      </c>
      <c r="L41">
        <v>3.1</v>
      </c>
      <c r="M41" s="2">
        <v>0.35416666666666702</v>
      </c>
      <c r="N41" t="s">
        <v>8</v>
      </c>
    </row>
    <row r="42" spans="1:14" x14ac:dyDescent="0.75">
      <c r="A42" s="1">
        <v>45831</v>
      </c>
      <c r="B42" t="s">
        <v>16</v>
      </c>
      <c r="C42" s="2">
        <v>0.52777777777777779</v>
      </c>
      <c r="D42">
        <v>16.100000000000001</v>
      </c>
      <c r="E42">
        <v>30</v>
      </c>
      <c r="F42">
        <v>4</v>
      </c>
      <c r="G42">
        <v>1</v>
      </c>
      <c r="H42">
        <f>5/10</f>
        <v>0.5</v>
      </c>
      <c r="I42">
        <f>6/10</f>
        <v>0.6</v>
      </c>
      <c r="J42">
        <v>10</v>
      </c>
      <c r="K42">
        <v>10</v>
      </c>
      <c r="L42">
        <v>2.2000000000000002</v>
      </c>
      <c r="M42" s="2">
        <v>0.35416666666666702</v>
      </c>
      <c r="N42" t="s">
        <v>8</v>
      </c>
    </row>
    <row r="43" spans="1:14" x14ac:dyDescent="0.75">
      <c r="A43" s="1">
        <v>45831</v>
      </c>
      <c r="B43" t="s">
        <v>16</v>
      </c>
      <c r="C43" s="2">
        <v>0.52430555555555558</v>
      </c>
      <c r="D43">
        <v>16.100000000000001</v>
      </c>
      <c r="E43">
        <v>30</v>
      </c>
      <c r="F43">
        <v>6</v>
      </c>
      <c r="G43">
        <v>1</v>
      </c>
      <c r="H43">
        <f>6/9</f>
        <v>0.66666666666666663</v>
      </c>
      <c r="I43">
        <f>6/9</f>
        <v>0.66666666666666663</v>
      </c>
      <c r="J43">
        <v>9</v>
      </c>
      <c r="K43">
        <v>9</v>
      </c>
      <c r="L43">
        <v>2.4</v>
      </c>
      <c r="M43" s="2">
        <v>0.35416666666666702</v>
      </c>
      <c r="N43" t="s">
        <v>8</v>
      </c>
    </row>
    <row r="44" spans="1:14" x14ac:dyDescent="0.75">
      <c r="A44" s="1">
        <v>45830</v>
      </c>
      <c r="B44" t="s">
        <v>16</v>
      </c>
      <c r="C44" s="2">
        <v>0.65208333333333335</v>
      </c>
      <c r="D44">
        <v>16.399999999999999</v>
      </c>
      <c r="E44">
        <v>30.5</v>
      </c>
      <c r="F44">
        <v>0.5</v>
      </c>
      <c r="G44">
        <v>2</v>
      </c>
      <c r="H44">
        <f t="shared" ref="H44:I46" si="1">0/10</f>
        <v>0</v>
      </c>
      <c r="I44">
        <f t="shared" si="1"/>
        <v>0</v>
      </c>
      <c r="J44">
        <v>10</v>
      </c>
      <c r="K44">
        <v>10</v>
      </c>
      <c r="L44">
        <v>2.2999999999999998</v>
      </c>
      <c r="M44" s="2">
        <v>0.36805555555555558</v>
      </c>
      <c r="N44" t="s">
        <v>14</v>
      </c>
    </row>
    <row r="45" spans="1:14" x14ac:dyDescent="0.75">
      <c r="A45" s="1">
        <v>45831</v>
      </c>
      <c r="B45" t="s">
        <v>16</v>
      </c>
      <c r="C45" s="2">
        <v>0.63402777777777775</v>
      </c>
      <c r="D45">
        <v>16.100000000000001</v>
      </c>
      <c r="E45">
        <v>30.5</v>
      </c>
      <c r="F45">
        <v>0.75</v>
      </c>
      <c r="G45">
        <v>2</v>
      </c>
      <c r="H45">
        <f t="shared" si="1"/>
        <v>0</v>
      </c>
      <c r="I45">
        <f t="shared" si="1"/>
        <v>0</v>
      </c>
      <c r="J45">
        <v>10</v>
      </c>
      <c r="K45">
        <v>10</v>
      </c>
      <c r="L45">
        <v>2.4</v>
      </c>
      <c r="M45" s="2">
        <v>0.35416666666666669</v>
      </c>
      <c r="N45" t="s">
        <v>8</v>
      </c>
    </row>
    <row r="46" spans="1:14" x14ac:dyDescent="0.75">
      <c r="A46" s="1">
        <v>45831</v>
      </c>
      <c r="B46" t="s">
        <v>16</v>
      </c>
      <c r="C46" s="2">
        <v>0.63194444444444442</v>
      </c>
      <c r="D46">
        <v>16.100000000000001</v>
      </c>
      <c r="E46">
        <v>30.5</v>
      </c>
      <c r="F46">
        <v>1</v>
      </c>
      <c r="G46">
        <v>2</v>
      </c>
      <c r="H46">
        <f t="shared" si="1"/>
        <v>0</v>
      </c>
      <c r="I46">
        <f t="shared" si="1"/>
        <v>0</v>
      </c>
      <c r="J46">
        <v>10</v>
      </c>
      <c r="K46">
        <v>10</v>
      </c>
      <c r="L46">
        <v>1.8</v>
      </c>
      <c r="M46" s="2">
        <v>0.35416666666666669</v>
      </c>
      <c r="N46" t="s">
        <v>8</v>
      </c>
    </row>
    <row r="47" spans="1:14" x14ac:dyDescent="0.75">
      <c r="A47" s="1">
        <v>45831</v>
      </c>
      <c r="B47" t="s">
        <v>16</v>
      </c>
      <c r="C47" s="2">
        <v>0.55347222222222225</v>
      </c>
      <c r="D47">
        <v>16.100000000000001</v>
      </c>
      <c r="E47">
        <v>30.5</v>
      </c>
      <c r="F47">
        <v>2</v>
      </c>
      <c r="G47">
        <v>2</v>
      </c>
      <c r="H47">
        <f>3/10</f>
        <v>0.3</v>
      </c>
      <c r="I47">
        <f>4/10</f>
        <v>0.4</v>
      </c>
      <c r="J47">
        <v>10</v>
      </c>
      <c r="K47">
        <v>10</v>
      </c>
      <c r="L47">
        <v>2.4</v>
      </c>
      <c r="M47" s="2">
        <v>0.35416666666666702</v>
      </c>
      <c r="N47" t="s">
        <v>8</v>
      </c>
    </row>
    <row r="48" spans="1:14" x14ac:dyDescent="0.75">
      <c r="A48" s="1">
        <v>45831</v>
      </c>
      <c r="B48" t="s">
        <v>16</v>
      </c>
      <c r="C48" s="2">
        <v>0.52777777777777779</v>
      </c>
      <c r="D48">
        <v>16.100000000000001</v>
      </c>
      <c r="E48">
        <v>30.5</v>
      </c>
      <c r="F48">
        <v>4</v>
      </c>
      <c r="G48">
        <v>2</v>
      </c>
      <c r="H48">
        <f>8/10</f>
        <v>0.8</v>
      </c>
      <c r="I48">
        <f>10/10</f>
        <v>1</v>
      </c>
      <c r="J48">
        <v>10</v>
      </c>
      <c r="K48">
        <v>10</v>
      </c>
      <c r="L48">
        <v>4.0999999999999996</v>
      </c>
      <c r="M48" s="2">
        <v>0.35416666666666702</v>
      </c>
      <c r="N48" t="s">
        <v>8</v>
      </c>
    </row>
    <row r="49" spans="1:14" x14ac:dyDescent="0.75">
      <c r="A49" s="1">
        <v>45831</v>
      </c>
      <c r="B49" t="s">
        <v>16</v>
      </c>
      <c r="C49" s="2">
        <v>0.52430555555555558</v>
      </c>
      <c r="D49">
        <v>16.100000000000001</v>
      </c>
      <c r="E49">
        <v>30.5</v>
      </c>
      <c r="F49">
        <v>6</v>
      </c>
      <c r="G49">
        <v>2</v>
      </c>
      <c r="H49">
        <f>10/10</f>
        <v>1</v>
      </c>
      <c r="I49">
        <f>10/10</f>
        <v>1</v>
      </c>
      <c r="J49">
        <v>10</v>
      </c>
      <c r="K49">
        <v>10</v>
      </c>
      <c r="L49">
        <v>3.5</v>
      </c>
      <c r="M49" s="2">
        <v>0.35416666666666702</v>
      </c>
      <c r="N49" t="s">
        <v>8</v>
      </c>
    </row>
    <row r="50" spans="1:14" x14ac:dyDescent="0.75">
      <c r="A50" s="1">
        <v>45830</v>
      </c>
      <c r="B50" t="s">
        <v>16</v>
      </c>
      <c r="C50" s="2">
        <v>0.65208333333333335</v>
      </c>
      <c r="D50">
        <v>16.399999999999999</v>
      </c>
      <c r="E50">
        <v>31</v>
      </c>
      <c r="F50">
        <v>0.5</v>
      </c>
      <c r="G50">
        <v>3</v>
      </c>
      <c r="H50">
        <f>1/10</f>
        <v>0.1</v>
      </c>
      <c r="I50">
        <f>1/9</f>
        <v>0.1111111111111111</v>
      </c>
      <c r="J50">
        <v>10</v>
      </c>
      <c r="K50">
        <v>9</v>
      </c>
      <c r="L50">
        <v>2.2000000000000002</v>
      </c>
      <c r="M50" s="2">
        <v>0.36805555555555558</v>
      </c>
      <c r="N50" t="s">
        <v>14</v>
      </c>
    </row>
    <row r="51" spans="1:14" x14ac:dyDescent="0.75">
      <c r="A51" s="1">
        <v>45831</v>
      </c>
      <c r="B51" t="s">
        <v>16</v>
      </c>
      <c r="C51" s="2">
        <v>0.63402777777777775</v>
      </c>
      <c r="D51">
        <v>16.100000000000001</v>
      </c>
      <c r="E51">
        <v>31</v>
      </c>
      <c r="F51">
        <v>0.75</v>
      </c>
      <c r="G51">
        <v>3</v>
      </c>
      <c r="H51">
        <f>0/11</f>
        <v>0</v>
      </c>
      <c r="I51">
        <f>0/11</f>
        <v>0</v>
      </c>
      <c r="J51">
        <v>11</v>
      </c>
      <c r="K51">
        <v>11</v>
      </c>
      <c r="L51">
        <v>1.8</v>
      </c>
      <c r="M51" s="2">
        <v>0.35416666666666669</v>
      </c>
      <c r="N51" t="s">
        <v>8</v>
      </c>
    </row>
    <row r="52" spans="1:14" x14ac:dyDescent="0.75">
      <c r="A52" s="1">
        <v>45831</v>
      </c>
      <c r="B52" t="s">
        <v>16</v>
      </c>
      <c r="C52" s="2">
        <v>0.63194444444444442</v>
      </c>
      <c r="D52">
        <v>16.100000000000001</v>
      </c>
      <c r="E52">
        <v>31</v>
      </c>
      <c r="F52">
        <v>1</v>
      </c>
      <c r="G52">
        <v>3</v>
      </c>
      <c r="H52">
        <f>1/10</f>
        <v>0.1</v>
      </c>
      <c r="I52">
        <f>1/10</f>
        <v>0.1</v>
      </c>
      <c r="J52">
        <v>10</v>
      </c>
      <c r="K52">
        <v>10</v>
      </c>
      <c r="L52">
        <v>1.5</v>
      </c>
      <c r="M52" s="2">
        <v>0.35416666666666669</v>
      </c>
      <c r="N52" t="s">
        <v>8</v>
      </c>
    </row>
    <row r="53" spans="1:14" x14ac:dyDescent="0.75">
      <c r="A53" s="1">
        <v>45831</v>
      </c>
      <c r="B53" t="s">
        <v>16</v>
      </c>
      <c r="C53" s="2">
        <v>0.55347222222222225</v>
      </c>
      <c r="D53">
        <v>16.100000000000001</v>
      </c>
      <c r="E53">
        <v>31</v>
      </c>
      <c r="F53">
        <v>2</v>
      </c>
      <c r="G53">
        <v>3</v>
      </c>
      <c r="H53">
        <f>2/10</f>
        <v>0.2</v>
      </c>
      <c r="I53">
        <f>5/9</f>
        <v>0.55555555555555558</v>
      </c>
      <c r="J53">
        <v>10</v>
      </c>
      <c r="K53">
        <v>9</v>
      </c>
      <c r="L53">
        <v>2</v>
      </c>
      <c r="M53" s="2">
        <v>0.35416666666666702</v>
      </c>
      <c r="N53" t="s">
        <v>8</v>
      </c>
    </row>
    <row r="54" spans="1:14" x14ac:dyDescent="0.75">
      <c r="A54" s="1">
        <v>45831</v>
      </c>
      <c r="B54" t="s">
        <v>16</v>
      </c>
      <c r="C54" s="2">
        <v>0.52777777777777779</v>
      </c>
      <c r="D54">
        <v>16.100000000000001</v>
      </c>
      <c r="E54">
        <v>31</v>
      </c>
      <c r="F54">
        <v>4</v>
      </c>
      <c r="G54">
        <v>3</v>
      </c>
      <c r="H54">
        <f>9/12</f>
        <v>0.75</v>
      </c>
      <c r="I54">
        <f>9/12</f>
        <v>0.75</v>
      </c>
      <c r="J54">
        <v>12</v>
      </c>
      <c r="K54">
        <v>12</v>
      </c>
      <c r="L54">
        <v>2.7</v>
      </c>
      <c r="M54" s="2">
        <v>0.35416666666666702</v>
      </c>
      <c r="N54" t="s">
        <v>8</v>
      </c>
    </row>
    <row r="55" spans="1:14" x14ac:dyDescent="0.75">
      <c r="A55" s="1">
        <v>45831</v>
      </c>
      <c r="B55" t="s">
        <v>16</v>
      </c>
      <c r="C55" s="2">
        <v>0.52430555555555558</v>
      </c>
      <c r="D55">
        <v>16.100000000000001</v>
      </c>
      <c r="E55">
        <v>31</v>
      </c>
      <c r="F55">
        <v>6</v>
      </c>
      <c r="G55">
        <v>3</v>
      </c>
      <c r="H55">
        <f>10/10</f>
        <v>1</v>
      </c>
      <c r="I55">
        <f>10/10</f>
        <v>1</v>
      </c>
      <c r="J55">
        <v>10</v>
      </c>
      <c r="K55">
        <v>10</v>
      </c>
      <c r="L55">
        <v>2.1</v>
      </c>
      <c r="M55" s="2">
        <v>0.35416666666666702</v>
      </c>
      <c r="N55" t="s">
        <v>8</v>
      </c>
    </row>
    <row r="56" spans="1:14" x14ac:dyDescent="0.75">
      <c r="A56" s="1">
        <v>45830</v>
      </c>
      <c r="B56" t="s">
        <v>16</v>
      </c>
      <c r="C56" s="2">
        <v>0.65208333333333335</v>
      </c>
      <c r="D56">
        <v>16.399999999999999</v>
      </c>
      <c r="E56">
        <v>31.5</v>
      </c>
      <c r="F56">
        <v>0.5</v>
      </c>
      <c r="G56">
        <v>4</v>
      </c>
      <c r="H56">
        <f>2/10</f>
        <v>0.2</v>
      </c>
      <c r="I56">
        <f>2/10</f>
        <v>0.2</v>
      </c>
      <c r="J56">
        <v>10</v>
      </c>
      <c r="K56">
        <v>10</v>
      </c>
      <c r="L56">
        <v>2.2999999999999998</v>
      </c>
      <c r="M56" s="2">
        <v>0.36805555555555558</v>
      </c>
      <c r="N56" t="s">
        <v>14</v>
      </c>
    </row>
    <row r="57" spans="1:14" x14ac:dyDescent="0.75">
      <c r="A57" s="1">
        <v>45831</v>
      </c>
      <c r="B57" t="s">
        <v>16</v>
      </c>
      <c r="C57" s="2">
        <v>0.63402777777777775</v>
      </c>
      <c r="D57">
        <v>16.100000000000001</v>
      </c>
      <c r="E57">
        <v>31.5</v>
      </c>
      <c r="F57">
        <v>0.75</v>
      </c>
      <c r="G57">
        <v>4</v>
      </c>
      <c r="H57">
        <f>1/10</f>
        <v>0.1</v>
      </c>
      <c r="I57">
        <f>1/10</f>
        <v>0.1</v>
      </c>
      <c r="J57">
        <v>10</v>
      </c>
      <c r="K57">
        <v>10</v>
      </c>
      <c r="L57">
        <v>2.8</v>
      </c>
      <c r="M57" s="2">
        <v>0.35416666666666669</v>
      </c>
      <c r="N57" t="s">
        <v>8</v>
      </c>
    </row>
    <row r="58" spans="1:14" x14ac:dyDescent="0.75">
      <c r="A58" s="1">
        <v>45831</v>
      </c>
      <c r="B58" t="s">
        <v>16</v>
      </c>
      <c r="C58" s="2">
        <v>0.63194444444444442</v>
      </c>
      <c r="D58">
        <v>16.100000000000001</v>
      </c>
      <c r="E58">
        <v>31.5</v>
      </c>
      <c r="F58">
        <v>1</v>
      </c>
      <c r="G58">
        <v>4</v>
      </c>
      <c r="H58">
        <f>0/10</f>
        <v>0</v>
      </c>
      <c r="I58">
        <f>1/10</f>
        <v>0.1</v>
      </c>
      <c r="J58">
        <v>10</v>
      </c>
      <c r="K58">
        <v>10</v>
      </c>
      <c r="L58">
        <v>1.7</v>
      </c>
      <c r="M58" s="2">
        <v>0.35416666666666669</v>
      </c>
      <c r="N58" t="s">
        <v>8</v>
      </c>
    </row>
    <row r="59" spans="1:14" x14ac:dyDescent="0.75">
      <c r="A59" s="1">
        <v>45831</v>
      </c>
      <c r="B59" t="s">
        <v>16</v>
      </c>
      <c r="C59" s="2">
        <v>0.55347222222222225</v>
      </c>
      <c r="D59">
        <v>16.100000000000001</v>
      </c>
      <c r="E59">
        <v>31.5</v>
      </c>
      <c r="F59">
        <v>2</v>
      </c>
      <c r="G59">
        <v>4</v>
      </c>
      <c r="H59">
        <f>5/10</f>
        <v>0.5</v>
      </c>
      <c r="I59">
        <f>3/10</f>
        <v>0.3</v>
      </c>
      <c r="J59">
        <v>10</v>
      </c>
      <c r="K59">
        <v>10</v>
      </c>
      <c r="L59">
        <v>1.8</v>
      </c>
      <c r="M59" s="2">
        <v>0.35416666666666702</v>
      </c>
      <c r="N59" t="s">
        <v>8</v>
      </c>
    </row>
    <row r="60" spans="1:14" x14ac:dyDescent="0.75">
      <c r="A60" s="1">
        <v>45831</v>
      </c>
      <c r="B60" t="s">
        <v>16</v>
      </c>
      <c r="C60" s="2">
        <v>0.52777777777777779</v>
      </c>
      <c r="D60">
        <v>16.100000000000001</v>
      </c>
      <c r="E60">
        <v>31.5</v>
      </c>
      <c r="F60">
        <v>4</v>
      </c>
      <c r="G60">
        <v>4</v>
      </c>
      <c r="H60">
        <f>10/11</f>
        <v>0.90909090909090906</v>
      </c>
      <c r="I60">
        <f>11/11</f>
        <v>1</v>
      </c>
      <c r="J60">
        <v>11</v>
      </c>
      <c r="K60">
        <v>11</v>
      </c>
      <c r="L60">
        <v>3.6</v>
      </c>
      <c r="M60" s="2">
        <v>0.35416666666666702</v>
      </c>
      <c r="N60" t="s">
        <v>8</v>
      </c>
    </row>
    <row r="61" spans="1:14" x14ac:dyDescent="0.75">
      <c r="A61" s="1">
        <v>45831</v>
      </c>
      <c r="B61" t="s">
        <v>16</v>
      </c>
      <c r="C61" s="2">
        <v>0.52430555555555558</v>
      </c>
      <c r="D61">
        <v>16.100000000000001</v>
      </c>
      <c r="E61">
        <v>31.5</v>
      </c>
      <c r="F61">
        <v>6</v>
      </c>
      <c r="G61">
        <v>4</v>
      </c>
      <c r="H61">
        <f>10/10</f>
        <v>1</v>
      </c>
      <c r="I61">
        <f>10/10</f>
        <v>1</v>
      </c>
      <c r="J61">
        <v>10</v>
      </c>
      <c r="K61">
        <v>10</v>
      </c>
      <c r="L61">
        <v>1.6</v>
      </c>
      <c r="M61" s="2">
        <v>0.35416666666666702</v>
      </c>
      <c r="N61" t="s">
        <v>8</v>
      </c>
    </row>
    <row r="62" spans="1:14" x14ac:dyDescent="0.75">
      <c r="A62" s="1">
        <v>45830</v>
      </c>
      <c r="B62" t="s">
        <v>16</v>
      </c>
      <c r="C62" s="2">
        <v>0.65208333333333335</v>
      </c>
      <c r="D62">
        <v>16.399999999999999</v>
      </c>
      <c r="E62">
        <v>32</v>
      </c>
      <c r="F62">
        <v>0.5</v>
      </c>
      <c r="G62">
        <v>5</v>
      </c>
      <c r="H62">
        <f>3/11</f>
        <v>0.27272727272727271</v>
      </c>
      <c r="I62">
        <f>2/11</f>
        <v>0.18181818181818182</v>
      </c>
      <c r="J62">
        <v>11</v>
      </c>
      <c r="K62">
        <v>11</v>
      </c>
      <c r="L62">
        <v>1.7</v>
      </c>
      <c r="M62" s="2">
        <v>0.36805555555555558</v>
      </c>
      <c r="N62" t="s">
        <v>14</v>
      </c>
    </row>
    <row r="63" spans="1:14" x14ac:dyDescent="0.75">
      <c r="A63" s="1">
        <v>45831</v>
      </c>
      <c r="B63" t="s">
        <v>16</v>
      </c>
      <c r="C63" s="2">
        <v>0.63402777777777775</v>
      </c>
      <c r="D63">
        <v>16.100000000000001</v>
      </c>
      <c r="E63">
        <v>32</v>
      </c>
      <c r="F63">
        <v>0.75</v>
      </c>
      <c r="G63">
        <v>5</v>
      </c>
      <c r="H63">
        <f>4/10</f>
        <v>0.4</v>
      </c>
      <c r="I63">
        <f>3/10</f>
        <v>0.3</v>
      </c>
      <c r="J63">
        <v>10</v>
      </c>
      <c r="K63">
        <v>10</v>
      </c>
      <c r="L63">
        <v>1.8</v>
      </c>
      <c r="M63" s="2">
        <v>0.35416666666666669</v>
      </c>
      <c r="N63" t="s">
        <v>8</v>
      </c>
    </row>
    <row r="64" spans="1:14" x14ac:dyDescent="0.75">
      <c r="A64" s="1">
        <v>45831</v>
      </c>
      <c r="B64" t="s">
        <v>16</v>
      </c>
      <c r="C64" s="2">
        <v>0.63194444444444442</v>
      </c>
      <c r="D64">
        <v>16.100000000000001</v>
      </c>
      <c r="E64">
        <v>32</v>
      </c>
      <c r="F64">
        <v>1</v>
      </c>
      <c r="G64">
        <v>5</v>
      </c>
      <c r="H64">
        <f>5/10</f>
        <v>0.5</v>
      </c>
      <c r="I64">
        <f>6/10</f>
        <v>0.6</v>
      </c>
      <c r="J64">
        <v>10</v>
      </c>
      <c r="K64">
        <v>10</v>
      </c>
      <c r="L64">
        <v>1.9</v>
      </c>
      <c r="M64" s="2">
        <v>0.35416666666666669</v>
      </c>
      <c r="N64" t="s">
        <v>8</v>
      </c>
    </row>
    <row r="65" spans="1:14" x14ac:dyDescent="0.75">
      <c r="A65" s="1">
        <v>45831</v>
      </c>
      <c r="B65" t="s">
        <v>16</v>
      </c>
      <c r="C65" s="2">
        <v>0.55347222222222225</v>
      </c>
      <c r="D65">
        <v>16.100000000000001</v>
      </c>
      <c r="E65">
        <v>32</v>
      </c>
      <c r="F65">
        <v>2</v>
      </c>
      <c r="G65">
        <v>5</v>
      </c>
      <c r="H65">
        <f t="shared" ref="H65:I67" si="2">10/10</f>
        <v>1</v>
      </c>
      <c r="I65">
        <f t="shared" si="2"/>
        <v>1</v>
      </c>
      <c r="J65">
        <v>10</v>
      </c>
      <c r="K65">
        <v>10</v>
      </c>
      <c r="L65">
        <v>1.6</v>
      </c>
      <c r="M65" s="2">
        <v>0.35416666666666702</v>
      </c>
      <c r="N65" t="s">
        <v>8</v>
      </c>
    </row>
    <row r="66" spans="1:14" x14ac:dyDescent="0.75">
      <c r="A66" s="1">
        <v>45831</v>
      </c>
      <c r="B66" t="s">
        <v>16</v>
      </c>
      <c r="C66" s="2">
        <v>0.52777777777777779</v>
      </c>
      <c r="D66">
        <v>16.100000000000001</v>
      </c>
      <c r="E66">
        <v>32</v>
      </c>
      <c r="F66">
        <v>4</v>
      </c>
      <c r="G66">
        <v>5</v>
      </c>
      <c r="H66">
        <f t="shared" si="2"/>
        <v>1</v>
      </c>
      <c r="I66">
        <f t="shared" si="2"/>
        <v>1</v>
      </c>
      <c r="J66">
        <v>10</v>
      </c>
      <c r="K66">
        <v>10</v>
      </c>
      <c r="L66">
        <v>2.6</v>
      </c>
      <c r="M66" s="2">
        <v>0.35416666666666702</v>
      </c>
      <c r="N66" t="s">
        <v>14</v>
      </c>
    </row>
    <row r="67" spans="1:14" x14ac:dyDescent="0.75">
      <c r="A67" s="1">
        <v>45831</v>
      </c>
      <c r="B67" t="s">
        <v>16</v>
      </c>
      <c r="C67" s="2">
        <v>0.52430555555555558</v>
      </c>
      <c r="D67">
        <v>16.100000000000001</v>
      </c>
      <c r="E67">
        <v>32</v>
      </c>
      <c r="F67">
        <v>6</v>
      </c>
      <c r="G67">
        <v>5</v>
      </c>
      <c r="H67">
        <f t="shared" si="2"/>
        <v>1</v>
      </c>
      <c r="I67">
        <f t="shared" si="2"/>
        <v>1</v>
      </c>
      <c r="J67">
        <v>10</v>
      </c>
      <c r="K67">
        <v>10</v>
      </c>
      <c r="L67">
        <v>1.3</v>
      </c>
      <c r="M67" s="2">
        <v>0.35416666666666702</v>
      </c>
      <c r="N67" t="s">
        <v>8</v>
      </c>
    </row>
    <row r="68" spans="1:14" x14ac:dyDescent="0.75">
      <c r="A68" s="1">
        <v>45830</v>
      </c>
      <c r="B68" t="s">
        <v>16</v>
      </c>
      <c r="C68" s="2">
        <v>0.65208333333333335</v>
      </c>
      <c r="D68">
        <v>16.399999999999999</v>
      </c>
      <c r="E68">
        <v>32.5</v>
      </c>
      <c r="F68">
        <v>0.5</v>
      </c>
      <c r="G68">
        <v>6</v>
      </c>
      <c r="H68">
        <f>7/10</f>
        <v>0.7</v>
      </c>
      <c r="I68">
        <f>6/10</f>
        <v>0.6</v>
      </c>
      <c r="J68">
        <v>10</v>
      </c>
      <c r="K68">
        <v>10</v>
      </c>
      <c r="L68">
        <v>1.3</v>
      </c>
      <c r="M68" s="2">
        <v>0.36805555555555558</v>
      </c>
      <c r="N68" t="s">
        <v>14</v>
      </c>
    </row>
    <row r="69" spans="1:14" x14ac:dyDescent="0.75">
      <c r="A69" s="1">
        <v>45831</v>
      </c>
      <c r="B69" t="s">
        <v>16</v>
      </c>
      <c r="C69" s="2">
        <v>0.63402777777777775</v>
      </c>
      <c r="D69">
        <v>16.100000000000001</v>
      </c>
      <c r="E69">
        <v>32.5</v>
      </c>
      <c r="F69">
        <v>0.75</v>
      </c>
      <c r="G69">
        <v>6</v>
      </c>
      <c r="H69">
        <f>9/10</f>
        <v>0.9</v>
      </c>
      <c r="I69">
        <f>9/10</f>
        <v>0.9</v>
      </c>
      <c r="J69">
        <v>10</v>
      </c>
      <c r="K69">
        <v>10</v>
      </c>
      <c r="L69">
        <v>1.6</v>
      </c>
      <c r="M69" s="2">
        <v>0.35416666666666669</v>
      </c>
      <c r="N69" t="s">
        <v>8</v>
      </c>
    </row>
    <row r="70" spans="1:14" x14ac:dyDescent="0.75">
      <c r="A70" s="1">
        <v>45831</v>
      </c>
      <c r="B70" t="s">
        <v>16</v>
      </c>
      <c r="C70" s="2">
        <v>0.63194444444444442</v>
      </c>
      <c r="D70">
        <v>16.100000000000001</v>
      </c>
      <c r="E70">
        <v>32.5</v>
      </c>
      <c r="F70">
        <v>1</v>
      </c>
      <c r="G70">
        <v>6</v>
      </c>
      <c r="H70">
        <f>8/10</f>
        <v>0.8</v>
      </c>
      <c r="I70">
        <f>8/10</f>
        <v>0.8</v>
      </c>
      <c r="J70">
        <v>10</v>
      </c>
      <c r="K70">
        <v>10</v>
      </c>
      <c r="L70">
        <v>2.2999999999999998</v>
      </c>
      <c r="M70" s="2">
        <v>0.35416666666666669</v>
      </c>
      <c r="N70" t="s">
        <v>8</v>
      </c>
    </row>
    <row r="71" spans="1:14" x14ac:dyDescent="0.75">
      <c r="A71" s="1">
        <v>45831</v>
      </c>
      <c r="B71" t="s">
        <v>16</v>
      </c>
      <c r="C71" s="2">
        <v>0.55347222222222225</v>
      </c>
      <c r="D71">
        <v>16.100000000000001</v>
      </c>
      <c r="E71">
        <v>32.5</v>
      </c>
      <c r="F71">
        <v>2</v>
      </c>
      <c r="G71">
        <v>6</v>
      </c>
      <c r="H71">
        <f>11/11</f>
        <v>1</v>
      </c>
      <c r="I71">
        <f>11/11</f>
        <v>1</v>
      </c>
      <c r="J71">
        <v>11</v>
      </c>
      <c r="K71">
        <v>11</v>
      </c>
      <c r="L71">
        <v>2.2000000000000002</v>
      </c>
      <c r="M71" s="2">
        <v>0.35416666666666702</v>
      </c>
      <c r="N71" t="s">
        <v>8</v>
      </c>
    </row>
    <row r="72" spans="1:14" x14ac:dyDescent="0.75">
      <c r="A72" s="1">
        <v>45831</v>
      </c>
      <c r="B72" t="s">
        <v>16</v>
      </c>
      <c r="C72" s="2">
        <v>0.52777777777777779</v>
      </c>
      <c r="D72">
        <v>16.100000000000001</v>
      </c>
      <c r="E72">
        <v>32.5</v>
      </c>
      <c r="F72">
        <v>4</v>
      </c>
      <c r="G72">
        <v>6</v>
      </c>
      <c r="H72">
        <f>11/11</f>
        <v>1</v>
      </c>
      <c r="I72">
        <f>11/11</f>
        <v>1</v>
      </c>
      <c r="J72">
        <v>11</v>
      </c>
      <c r="K72">
        <v>11</v>
      </c>
      <c r="L72">
        <v>1.7</v>
      </c>
      <c r="M72" s="2">
        <v>0.35416666666666702</v>
      </c>
      <c r="N72" t="s">
        <v>8</v>
      </c>
    </row>
    <row r="73" spans="1:14" x14ac:dyDescent="0.75">
      <c r="A73" s="1">
        <v>45831</v>
      </c>
      <c r="B73" t="s">
        <v>16</v>
      </c>
      <c r="C73" s="2">
        <v>0.52430555555555558</v>
      </c>
      <c r="D73">
        <v>16.100000000000001</v>
      </c>
      <c r="E73">
        <v>32.5</v>
      </c>
      <c r="F73">
        <v>6</v>
      </c>
      <c r="G73">
        <v>6</v>
      </c>
      <c r="H73">
        <f>10/10</f>
        <v>1</v>
      </c>
      <c r="I73">
        <f>10/10</f>
        <v>1</v>
      </c>
      <c r="J73">
        <v>10</v>
      </c>
      <c r="K73">
        <v>10</v>
      </c>
      <c r="L73">
        <v>1.3</v>
      </c>
      <c r="M73" s="2">
        <v>0.35416666666666702</v>
      </c>
      <c r="N73" t="s">
        <v>8</v>
      </c>
    </row>
    <row r="74" spans="1:14" x14ac:dyDescent="0.75">
      <c r="A74" s="1">
        <v>45831</v>
      </c>
      <c r="B74" t="s">
        <v>16</v>
      </c>
      <c r="C74" s="2">
        <v>0.65208333333333335</v>
      </c>
      <c r="D74">
        <v>16.100000000000001</v>
      </c>
      <c r="E74">
        <v>30</v>
      </c>
      <c r="F74">
        <v>0.5</v>
      </c>
      <c r="G74">
        <v>6</v>
      </c>
      <c r="H74">
        <f>0/11</f>
        <v>0</v>
      </c>
      <c r="I74">
        <f>0/10</f>
        <v>0</v>
      </c>
      <c r="J74">
        <v>10</v>
      </c>
      <c r="K74">
        <v>11</v>
      </c>
      <c r="L74">
        <v>2.2000000000000002</v>
      </c>
      <c r="M74" s="2">
        <v>0.35416666666666669</v>
      </c>
      <c r="N74" t="s">
        <v>8</v>
      </c>
    </row>
    <row r="75" spans="1:14" x14ac:dyDescent="0.75">
      <c r="A75" s="1">
        <v>45831</v>
      </c>
      <c r="B75" t="s">
        <v>16</v>
      </c>
      <c r="C75" s="2">
        <v>0.63402777777777775</v>
      </c>
      <c r="D75">
        <v>16.100000000000001</v>
      </c>
      <c r="E75">
        <v>30</v>
      </c>
      <c r="F75">
        <v>0.75</v>
      </c>
      <c r="G75">
        <v>6</v>
      </c>
      <c r="H75">
        <f>0/10</f>
        <v>0</v>
      </c>
      <c r="I75">
        <f>0/10</f>
        <v>0</v>
      </c>
      <c r="J75">
        <v>10</v>
      </c>
      <c r="K75">
        <v>10</v>
      </c>
      <c r="L75">
        <v>2.2000000000000002</v>
      </c>
      <c r="M75" s="2">
        <v>0.35416666666666669</v>
      </c>
      <c r="N75" t="s">
        <v>14</v>
      </c>
    </row>
    <row r="76" spans="1:14" x14ac:dyDescent="0.75">
      <c r="A76" s="1">
        <v>45838</v>
      </c>
      <c r="B76" t="s">
        <v>105</v>
      </c>
      <c r="C76" s="2">
        <v>0.47708333333333336</v>
      </c>
      <c r="D76">
        <v>16.8</v>
      </c>
      <c r="E76">
        <v>30</v>
      </c>
      <c r="F76">
        <v>1</v>
      </c>
      <c r="G76">
        <v>6</v>
      </c>
      <c r="H76">
        <f>1/10</f>
        <v>0.1</v>
      </c>
      <c r="I76">
        <f>2/10</f>
        <v>0.2</v>
      </c>
      <c r="J76">
        <v>10</v>
      </c>
      <c r="K76">
        <v>10</v>
      </c>
      <c r="L76">
        <v>1.74</v>
      </c>
      <c r="M76" s="2">
        <v>0.3888888888888889</v>
      </c>
      <c r="N76" t="s">
        <v>8</v>
      </c>
    </row>
    <row r="77" spans="1:14" x14ac:dyDescent="0.75">
      <c r="A77" s="1">
        <v>45838</v>
      </c>
      <c r="B77" t="s">
        <v>105</v>
      </c>
      <c r="C77" s="2">
        <v>0.46736111111111112</v>
      </c>
      <c r="D77">
        <v>16.8</v>
      </c>
      <c r="E77">
        <v>30</v>
      </c>
      <c r="F77">
        <v>2</v>
      </c>
      <c r="G77">
        <v>6</v>
      </c>
      <c r="H77">
        <f>3/10</f>
        <v>0.3</v>
      </c>
      <c r="I77">
        <f>4/10</f>
        <v>0.4</v>
      </c>
      <c r="J77">
        <v>10</v>
      </c>
      <c r="K77">
        <v>10</v>
      </c>
      <c r="L77">
        <v>1.89</v>
      </c>
      <c r="M77" s="2">
        <v>0.3888888888888889</v>
      </c>
      <c r="N77" t="s">
        <v>8</v>
      </c>
    </row>
    <row r="78" spans="1:14" x14ac:dyDescent="0.75">
      <c r="A78" s="1">
        <v>45838</v>
      </c>
      <c r="B78" t="s">
        <v>105</v>
      </c>
      <c r="C78" s="2">
        <v>0.45694444444444443</v>
      </c>
      <c r="D78">
        <v>16.8</v>
      </c>
      <c r="E78">
        <v>30</v>
      </c>
      <c r="F78">
        <v>4</v>
      </c>
      <c r="G78">
        <v>6</v>
      </c>
      <c r="H78">
        <f>4/10</f>
        <v>0.4</v>
      </c>
      <c r="I78">
        <f>4/10</f>
        <v>0.4</v>
      </c>
      <c r="J78">
        <v>10</v>
      </c>
      <c r="K78">
        <v>10</v>
      </c>
      <c r="L78">
        <v>1.53</v>
      </c>
      <c r="M78" s="2">
        <v>0.3888888888888889</v>
      </c>
      <c r="N78" t="s">
        <v>8</v>
      </c>
    </row>
    <row r="79" spans="1:14" x14ac:dyDescent="0.75">
      <c r="A79" s="1">
        <v>45838</v>
      </c>
      <c r="B79" t="s">
        <v>105</v>
      </c>
      <c r="C79" s="2">
        <v>0.44930555555555557</v>
      </c>
      <c r="D79">
        <v>16.8</v>
      </c>
      <c r="E79">
        <v>30</v>
      </c>
      <c r="F79">
        <v>6</v>
      </c>
      <c r="G79">
        <v>6</v>
      </c>
      <c r="H79">
        <f>8/10</f>
        <v>0.8</v>
      </c>
      <c r="I79">
        <f>8/10</f>
        <v>0.8</v>
      </c>
      <c r="J79">
        <v>10</v>
      </c>
      <c r="K79">
        <v>10</v>
      </c>
      <c r="L79">
        <v>1.81</v>
      </c>
      <c r="M79" s="2">
        <v>0.3888888888888889</v>
      </c>
      <c r="N79" t="s">
        <v>8</v>
      </c>
    </row>
    <row r="80" spans="1:14" x14ac:dyDescent="0.75">
      <c r="A80" s="1">
        <v>45831</v>
      </c>
      <c r="B80" t="s">
        <v>16</v>
      </c>
      <c r="C80" s="2">
        <v>0.65208333333333335</v>
      </c>
      <c r="D80">
        <v>16.100000000000001</v>
      </c>
      <c r="E80">
        <v>30.5</v>
      </c>
      <c r="F80">
        <v>0.5</v>
      </c>
      <c r="G80">
        <v>5</v>
      </c>
      <c r="H80">
        <f>0/10</f>
        <v>0</v>
      </c>
      <c r="I80">
        <f>0/10</f>
        <v>0</v>
      </c>
      <c r="J80">
        <v>10</v>
      </c>
      <c r="K80">
        <v>10</v>
      </c>
      <c r="L80">
        <v>3.7</v>
      </c>
      <c r="M80" s="2">
        <v>0.35416666666666669</v>
      </c>
      <c r="N80" t="s">
        <v>8</v>
      </c>
    </row>
    <row r="81" spans="1:14" x14ac:dyDescent="0.75">
      <c r="A81" s="1">
        <v>45831</v>
      </c>
      <c r="B81" t="s">
        <v>16</v>
      </c>
      <c r="C81" s="2">
        <v>0.63402777777777775</v>
      </c>
      <c r="D81">
        <v>16.100000000000001</v>
      </c>
      <c r="E81">
        <v>30.5</v>
      </c>
      <c r="F81">
        <v>0.75</v>
      </c>
      <c r="G81">
        <v>5</v>
      </c>
      <c r="H81">
        <f>2/10</f>
        <v>0.2</v>
      </c>
      <c r="I81">
        <f>2/10</f>
        <v>0.2</v>
      </c>
      <c r="J81">
        <v>10</v>
      </c>
      <c r="K81">
        <v>10</v>
      </c>
      <c r="L81">
        <v>2.6</v>
      </c>
      <c r="M81" s="2">
        <v>0.35416666666666669</v>
      </c>
      <c r="N81" t="s">
        <v>14</v>
      </c>
    </row>
    <row r="82" spans="1:14" x14ac:dyDescent="0.75">
      <c r="A82" s="1">
        <v>45838</v>
      </c>
      <c r="B82" t="s">
        <v>105</v>
      </c>
      <c r="C82" s="2">
        <v>0.47708333333333336</v>
      </c>
      <c r="D82">
        <v>16.8</v>
      </c>
      <c r="E82">
        <v>30.5</v>
      </c>
      <c r="F82">
        <v>1</v>
      </c>
      <c r="G82">
        <v>5</v>
      </c>
      <c r="H82">
        <f>3/11</f>
        <v>0.27272727272727271</v>
      </c>
      <c r="I82">
        <f>4/11</f>
        <v>0.36363636363636365</v>
      </c>
      <c r="J82">
        <v>11</v>
      </c>
      <c r="K82">
        <v>11</v>
      </c>
      <c r="L82">
        <v>1.64</v>
      </c>
      <c r="M82" s="2">
        <v>0.3888888888888889</v>
      </c>
      <c r="N82" t="s">
        <v>8</v>
      </c>
    </row>
    <row r="83" spans="1:14" x14ac:dyDescent="0.75">
      <c r="A83" s="1">
        <v>45838</v>
      </c>
      <c r="B83" t="s">
        <v>105</v>
      </c>
      <c r="C83" s="2">
        <v>0.46736111111111112</v>
      </c>
      <c r="D83">
        <v>16.8</v>
      </c>
      <c r="E83">
        <v>30.5</v>
      </c>
      <c r="F83">
        <v>2</v>
      </c>
      <c r="G83">
        <v>5</v>
      </c>
      <c r="H83">
        <f>1/10</f>
        <v>0.1</v>
      </c>
      <c r="I83">
        <f>1/10</f>
        <v>0.1</v>
      </c>
      <c r="J83">
        <v>10</v>
      </c>
      <c r="K83">
        <v>10</v>
      </c>
      <c r="L83">
        <v>1.62</v>
      </c>
      <c r="M83" s="2">
        <v>0.3888888888888889</v>
      </c>
      <c r="N83" t="s">
        <v>8</v>
      </c>
    </row>
    <row r="84" spans="1:14" x14ac:dyDescent="0.75">
      <c r="A84" s="1">
        <v>45838</v>
      </c>
      <c r="B84" t="s">
        <v>105</v>
      </c>
      <c r="C84" s="2">
        <v>0.45694444444444443</v>
      </c>
      <c r="D84">
        <v>16.8</v>
      </c>
      <c r="E84">
        <v>30.5</v>
      </c>
      <c r="F84">
        <v>4</v>
      </c>
      <c r="G84">
        <v>5</v>
      </c>
      <c r="H84">
        <f>7/10</f>
        <v>0.7</v>
      </c>
      <c r="I84">
        <f>8/10</f>
        <v>0.8</v>
      </c>
      <c r="J84">
        <v>10</v>
      </c>
      <c r="K84">
        <v>10</v>
      </c>
      <c r="L84">
        <v>1.68</v>
      </c>
      <c r="M84" s="2">
        <v>0.3888888888888889</v>
      </c>
      <c r="N84" t="s">
        <v>8</v>
      </c>
    </row>
    <row r="85" spans="1:14" x14ac:dyDescent="0.75">
      <c r="A85" s="1">
        <v>45838</v>
      </c>
      <c r="B85" t="s">
        <v>105</v>
      </c>
      <c r="C85" s="2">
        <v>0.44930555555555557</v>
      </c>
      <c r="D85">
        <v>16.8</v>
      </c>
      <c r="E85">
        <v>30.5</v>
      </c>
      <c r="F85">
        <v>6</v>
      </c>
      <c r="G85">
        <v>5</v>
      </c>
      <c r="H85">
        <f>9/10</f>
        <v>0.9</v>
      </c>
      <c r="I85">
        <f>10/10</f>
        <v>1</v>
      </c>
      <c r="J85">
        <v>10</v>
      </c>
      <c r="K85">
        <v>10</v>
      </c>
      <c r="L85">
        <v>1.43</v>
      </c>
      <c r="M85" s="2">
        <v>0.3888888888888889</v>
      </c>
      <c r="N85" t="s">
        <v>8</v>
      </c>
    </row>
    <row r="86" spans="1:14" x14ac:dyDescent="0.75">
      <c r="A86" s="1">
        <v>45831</v>
      </c>
      <c r="B86" t="s">
        <v>16</v>
      </c>
      <c r="C86" s="2">
        <v>0.65208333333333335</v>
      </c>
      <c r="D86">
        <v>16.100000000000001</v>
      </c>
      <c r="E86">
        <v>31</v>
      </c>
      <c r="F86">
        <v>0.5</v>
      </c>
      <c r="G86">
        <v>4</v>
      </c>
      <c r="H86">
        <f>1/10</f>
        <v>0.1</v>
      </c>
      <c r="I86">
        <f>1/10</f>
        <v>0.1</v>
      </c>
      <c r="J86">
        <v>10</v>
      </c>
      <c r="K86">
        <v>10</v>
      </c>
      <c r="L86">
        <v>2.6</v>
      </c>
      <c r="M86" s="2">
        <v>0.35416666666666669</v>
      </c>
      <c r="N86" t="s">
        <v>8</v>
      </c>
    </row>
    <row r="87" spans="1:14" x14ac:dyDescent="0.75">
      <c r="A87" s="1">
        <v>45831</v>
      </c>
      <c r="B87" t="s">
        <v>16</v>
      </c>
      <c r="C87" s="2">
        <v>0.63402777777777775</v>
      </c>
      <c r="D87">
        <v>16.100000000000001</v>
      </c>
      <c r="E87">
        <v>31</v>
      </c>
      <c r="F87">
        <v>0.75</v>
      </c>
      <c r="G87">
        <v>4</v>
      </c>
      <c r="H87">
        <f>0/10</f>
        <v>0</v>
      </c>
      <c r="I87">
        <f>0/10</f>
        <v>0</v>
      </c>
      <c r="J87">
        <v>10</v>
      </c>
      <c r="K87">
        <v>10</v>
      </c>
      <c r="L87">
        <v>2.7</v>
      </c>
      <c r="M87" s="2">
        <v>0.35416666666666669</v>
      </c>
      <c r="N87" t="s">
        <v>14</v>
      </c>
    </row>
    <row r="88" spans="1:14" x14ac:dyDescent="0.75">
      <c r="A88" s="1">
        <v>45838</v>
      </c>
      <c r="B88" t="s">
        <v>105</v>
      </c>
      <c r="C88" s="2">
        <v>0.47708333333333336</v>
      </c>
      <c r="D88">
        <v>16.8</v>
      </c>
      <c r="E88">
        <v>31</v>
      </c>
      <c r="F88">
        <v>1</v>
      </c>
      <c r="G88">
        <v>4</v>
      </c>
      <c r="H88">
        <f>2/10</f>
        <v>0.2</v>
      </c>
      <c r="I88">
        <f>2/10</f>
        <v>0.2</v>
      </c>
      <c r="J88">
        <v>10</v>
      </c>
      <c r="K88">
        <v>10</v>
      </c>
      <c r="L88">
        <v>1.64</v>
      </c>
      <c r="M88" s="2">
        <v>0.3888888888888889</v>
      </c>
      <c r="N88" t="s">
        <v>8</v>
      </c>
    </row>
    <row r="89" spans="1:14" x14ac:dyDescent="0.75">
      <c r="A89" s="1">
        <v>45838</v>
      </c>
      <c r="B89" t="s">
        <v>105</v>
      </c>
      <c r="C89" s="2">
        <v>0.46736111111111112</v>
      </c>
      <c r="D89">
        <v>16.8</v>
      </c>
      <c r="E89">
        <v>31</v>
      </c>
      <c r="F89">
        <v>2</v>
      </c>
      <c r="G89">
        <v>4</v>
      </c>
      <c r="H89">
        <f>3/10</f>
        <v>0.3</v>
      </c>
      <c r="I89">
        <f>3/10</f>
        <v>0.3</v>
      </c>
      <c r="J89">
        <v>10</v>
      </c>
      <c r="K89">
        <v>10</v>
      </c>
      <c r="L89">
        <v>1.74</v>
      </c>
      <c r="M89" s="2">
        <v>0.3888888888888889</v>
      </c>
      <c r="N89" t="s">
        <v>8</v>
      </c>
    </row>
    <row r="90" spans="1:14" x14ac:dyDescent="0.75">
      <c r="A90" s="1">
        <v>45838</v>
      </c>
      <c r="B90" t="s">
        <v>105</v>
      </c>
      <c r="C90" s="2">
        <v>0.45694444444444443</v>
      </c>
      <c r="D90">
        <v>16.8</v>
      </c>
      <c r="E90">
        <v>31</v>
      </c>
      <c r="F90">
        <v>4</v>
      </c>
      <c r="G90">
        <v>4</v>
      </c>
      <c r="H90">
        <f>9/10</f>
        <v>0.9</v>
      </c>
      <c r="I90">
        <f>9/10</f>
        <v>0.9</v>
      </c>
      <c r="J90">
        <v>10</v>
      </c>
      <c r="K90">
        <v>10</v>
      </c>
      <c r="L90">
        <v>1.44</v>
      </c>
      <c r="M90" s="2">
        <v>0.3888888888888889</v>
      </c>
      <c r="N90" t="s">
        <v>8</v>
      </c>
    </row>
    <row r="91" spans="1:14" x14ac:dyDescent="0.75">
      <c r="A91" s="1">
        <v>45838</v>
      </c>
      <c r="B91" t="s">
        <v>105</v>
      </c>
      <c r="C91" s="2">
        <v>0.44930555555555557</v>
      </c>
      <c r="D91">
        <v>16.8</v>
      </c>
      <c r="E91">
        <v>31</v>
      </c>
      <c r="F91">
        <v>6</v>
      </c>
      <c r="G91">
        <v>4</v>
      </c>
      <c r="H91">
        <f>10/10</f>
        <v>1</v>
      </c>
      <c r="I91">
        <f>10/10</f>
        <v>1</v>
      </c>
      <c r="J91">
        <v>10</v>
      </c>
      <c r="K91">
        <v>10</v>
      </c>
      <c r="L91">
        <v>1.29</v>
      </c>
      <c r="M91" s="2">
        <v>0.3888888888888889</v>
      </c>
      <c r="N91" t="s">
        <v>8</v>
      </c>
    </row>
    <row r="92" spans="1:14" x14ac:dyDescent="0.75">
      <c r="A92" s="1">
        <v>45831</v>
      </c>
      <c r="B92" t="s">
        <v>16</v>
      </c>
      <c r="C92" s="2">
        <v>0.65208333333333335</v>
      </c>
      <c r="D92">
        <v>16.100000000000001</v>
      </c>
      <c r="E92">
        <v>31.5</v>
      </c>
      <c r="F92">
        <v>0.5</v>
      </c>
      <c r="G92">
        <v>3</v>
      </c>
      <c r="H92">
        <f>2/12</f>
        <v>0.16666666666666666</v>
      </c>
      <c r="I92">
        <f>2/12</f>
        <v>0.16666666666666666</v>
      </c>
      <c r="J92">
        <v>12</v>
      </c>
      <c r="K92">
        <v>12</v>
      </c>
      <c r="L92">
        <v>2.2000000000000002</v>
      </c>
      <c r="M92" s="2">
        <v>0.35416666666666669</v>
      </c>
      <c r="N92" t="s">
        <v>8</v>
      </c>
    </row>
    <row r="93" spans="1:14" x14ac:dyDescent="0.75">
      <c r="A93" s="1">
        <v>45831</v>
      </c>
      <c r="B93" t="s">
        <v>16</v>
      </c>
      <c r="C93" s="2">
        <v>0.63402777777777775</v>
      </c>
      <c r="D93">
        <v>16.100000000000001</v>
      </c>
      <c r="E93">
        <v>31.5</v>
      </c>
      <c r="F93">
        <v>0.75</v>
      </c>
      <c r="G93">
        <v>3</v>
      </c>
      <c r="H93">
        <f>4/10</f>
        <v>0.4</v>
      </c>
      <c r="I93">
        <f>4/10</f>
        <v>0.4</v>
      </c>
      <c r="J93">
        <v>10</v>
      </c>
      <c r="K93">
        <v>10</v>
      </c>
      <c r="L93">
        <v>2.2999999999999998</v>
      </c>
      <c r="M93" s="2">
        <v>0.35416666666666669</v>
      </c>
      <c r="N93" t="s">
        <v>14</v>
      </c>
    </row>
    <row r="94" spans="1:14" x14ac:dyDescent="0.75">
      <c r="A94" s="1">
        <v>45838</v>
      </c>
      <c r="B94" t="s">
        <v>105</v>
      </c>
      <c r="C94" s="2">
        <v>0.47708333333333336</v>
      </c>
      <c r="D94">
        <v>16.8</v>
      </c>
      <c r="E94">
        <v>31.5</v>
      </c>
      <c r="F94">
        <v>1</v>
      </c>
      <c r="G94">
        <v>3</v>
      </c>
      <c r="H94">
        <f>1/10</f>
        <v>0.1</v>
      </c>
      <c r="I94">
        <f>3/10</f>
        <v>0.3</v>
      </c>
      <c r="J94">
        <v>10</v>
      </c>
      <c r="K94">
        <v>10</v>
      </c>
      <c r="L94">
        <v>1.64</v>
      </c>
      <c r="M94" s="2">
        <v>0.3888888888888889</v>
      </c>
      <c r="N94" t="s">
        <v>8</v>
      </c>
    </row>
    <row r="95" spans="1:14" x14ac:dyDescent="0.75">
      <c r="A95" s="1">
        <v>45838</v>
      </c>
      <c r="B95" t="s">
        <v>105</v>
      </c>
      <c r="C95" s="2">
        <v>0.46736111111111112</v>
      </c>
      <c r="D95">
        <v>16.8</v>
      </c>
      <c r="E95">
        <v>31.5</v>
      </c>
      <c r="F95">
        <v>2</v>
      </c>
      <c r="G95">
        <v>3</v>
      </c>
      <c r="H95">
        <f>3/10</f>
        <v>0.3</v>
      </c>
      <c r="I95">
        <f>4/10</f>
        <v>0.4</v>
      </c>
      <c r="J95">
        <v>10</v>
      </c>
      <c r="K95">
        <v>10</v>
      </c>
      <c r="L95">
        <v>1.55</v>
      </c>
      <c r="M95" s="2">
        <v>0.3888888888888889</v>
      </c>
      <c r="N95" t="s">
        <v>8</v>
      </c>
    </row>
    <row r="96" spans="1:14" x14ac:dyDescent="0.75">
      <c r="A96" s="1">
        <v>45838</v>
      </c>
      <c r="B96" t="s">
        <v>105</v>
      </c>
      <c r="C96" s="2">
        <v>0.45694444444444443</v>
      </c>
      <c r="D96">
        <v>16.8</v>
      </c>
      <c r="E96">
        <v>31.5</v>
      </c>
      <c r="F96">
        <v>4</v>
      </c>
      <c r="G96">
        <v>3</v>
      </c>
      <c r="H96">
        <f>10/10</f>
        <v>1</v>
      </c>
      <c r="I96">
        <f>10/10</f>
        <v>1</v>
      </c>
      <c r="J96">
        <v>10</v>
      </c>
      <c r="K96">
        <v>10</v>
      </c>
      <c r="L96">
        <v>2.2799999999999998</v>
      </c>
      <c r="M96" s="2">
        <v>0.3888888888888889</v>
      </c>
      <c r="N96" t="s">
        <v>8</v>
      </c>
    </row>
    <row r="97" spans="1:14" x14ac:dyDescent="0.75">
      <c r="A97" s="1">
        <v>45838</v>
      </c>
      <c r="B97" t="s">
        <v>105</v>
      </c>
      <c r="C97" s="2">
        <v>0.44930555555555557</v>
      </c>
      <c r="D97">
        <v>16.8</v>
      </c>
      <c r="E97">
        <v>31.5</v>
      </c>
      <c r="F97">
        <v>6</v>
      </c>
      <c r="G97">
        <v>3</v>
      </c>
      <c r="H97">
        <f>10/10</f>
        <v>1</v>
      </c>
      <c r="I97">
        <f>10/10</f>
        <v>1</v>
      </c>
      <c r="J97">
        <v>10</v>
      </c>
      <c r="K97">
        <v>10</v>
      </c>
      <c r="L97">
        <v>1.05</v>
      </c>
      <c r="M97" s="2">
        <v>0.3888888888888889</v>
      </c>
      <c r="N97" t="s">
        <v>8</v>
      </c>
    </row>
    <row r="98" spans="1:14" x14ac:dyDescent="0.75">
      <c r="A98" s="1">
        <v>45831</v>
      </c>
      <c r="B98" t="s">
        <v>16</v>
      </c>
      <c r="C98" s="2">
        <v>0.65208333333333335</v>
      </c>
      <c r="D98">
        <v>16.100000000000001</v>
      </c>
      <c r="E98">
        <v>32</v>
      </c>
      <c r="F98">
        <v>0.5</v>
      </c>
      <c r="G98">
        <v>2</v>
      </c>
      <c r="H98">
        <f>6/10</f>
        <v>0.6</v>
      </c>
      <c r="I98">
        <f>6/9</f>
        <v>0.66666666666666663</v>
      </c>
      <c r="J98">
        <v>10</v>
      </c>
      <c r="K98">
        <v>9</v>
      </c>
      <c r="L98">
        <v>2.2000000000000002</v>
      </c>
      <c r="M98" s="2">
        <v>0.35416666666666669</v>
      </c>
      <c r="N98" t="s">
        <v>8</v>
      </c>
    </row>
    <row r="99" spans="1:14" x14ac:dyDescent="0.75">
      <c r="A99" s="1">
        <v>45831</v>
      </c>
      <c r="B99" t="s">
        <v>16</v>
      </c>
      <c r="C99" s="2">
        <v>0.63402777777777775</v>
      </c>
      <c r="D99">
        <v>16.100000000000001</v>
      </c>
      <c r="E99">
        <v>32</v>
      </c>
      <c r="F99">
        <v>0.75</v>
      </c>
      <c r="G99">
        <v>2</v>
      </c>
      <c r="H99">
        <f>9/10</f>
        <v>0.9</v>
      </c>
      <c r="I99">
        <f>10/10</f>
        <v>1</v>
      </c>
      <c r="J99">
        <v>10</v>
      </c>
      <c r="K99">
        <v>10</v>
      </c>
      <c r="L99">
        <v>2.8</v>
      </c>
      <c r="M99" s="2">
        <v>0.35416666666666669</v>
      </c>
      <c r="N99" t="s">
        <v>14</v>
      </c>
    </row>
    <row r="100" spans="1:14" x14ac:dyDescent="0.75">
      <c r="A100" s="1">
        <v>45838</v>
      </c>
      <c r="B100" t="s">
        <v>105</v>
      </c>
      <c r="C100" s="2">
        <v>0.47708333333333336</v>
      </c>
      <c r="D100">
        <v>16.8</v>
      </c>
      <c r="E100">
        <v>32</v>
      </c>
      <c r="F100">
        <v>1</v>
      </c>
      <c r="G100">
        <v>2</v>
      </c>
      <c r="H100">
        <f>4/10</f>
        <v>0.4</v>
      </c>
      <c r="I100">
        <f>4/10</f>
        <v>0.4</v>
      </c>
      <c r="J100">
        <v>10</v>
      </c>
      <c r="K100">
        <v>10</v>
      </c>
      <c r="L100">
        <v>1.58</v>
      </c>
      <c r="M100" s="2">
        <v>0.3888888888888889</v>
      </c>
      <c r="N100" t="s">
        <v>8</v>
      </c>
    </row>
    <row r="101" spans="1:14" x14ac:dyDescent="0.75">
      <c r="A101" s="1">
        <v>45838</v>
      </c>
      <c r="B101" t="s">
        <v>105</v>
      </c>
      <c r="C101" s="2">
        <v>0.46736111111111112</v>
      </c>
      <c r="D101">
        <v>16.8</v>
      </c>
      <c r="E101">
        <v>32</v>
      </c>
      <c r="F101">
        <v>2</v>
      </c>
      <c r="G101">
        <v>2</v>
      </c>
      <c r="H101">
        <f>8/10</f>
        <v>0.8</v>
      </c>
      <c r="I101">
        <f>10/10</f>
        <v>1</v>
      </c>
      <c r="J101">
        <v>10</v>
      </c>
      <c r="K101">
        <v>10</v>
      </c>
      <c r="L101">
        <v>2.19</v>
      </c>
      <c r="M101" s="2">
        <v>0.3888888888888889</v>
      </c>
      <c r="N101" t="s">
        <v>8</v>
      </c>
    </row>
    <row r="102" spans="1:14" x14ac:dyDescent="0.75">
      <c r="A102" s="1">
        <v>45838</v>
      </c>
      <c r="B102" t="s">
        <v>105</v>
      </c>
      <c r="C102" s="2">
        <v>0.45694444444444443</v>
      </c>
      <c r="D102">
        <v>16.8</v>
      </c>
      <c r="E102">
        <v>32</v>
      </c>
      <c r="F102">
        <v>4</v>
      </c>
      <c r="G102">
        <v>2</v>
      </c>
      <c r="H102">
        <f>10/10</f>
        <v>1</v>
      </c>
      <c r="I102">
        <f>10/10</f>
        <v>1</v>
      </c>
      <c r="J102">
        <v>10</v>
      </c>
      <c r="K102">
        <v>10</v>
      </c>
      <c r="L102">
        <v>2.44</v>
      </c>
      <c r="M102" s="2">
        <v>0.3888888888888889</v>
      </c>
      <c r="N102" t="s">
        <v>8</v>
      </c>
    </row>
    <row r="103" spans="1:14" x14ac:dyDescent="0.75">
      <c r="A103" s="1">
        <v>45838</v>
      </c>
      <c r="B103" t="s">
        <v>105</v>
      </c>
      <c r="C103" s="2">
        <v>0.44930555555555557</v>
      </c>
      <c r="D103">
        <v>16.8</v>
      </c>
      <c r="E103">
        <v>32</v>
      </c>
      <c r="F103">
        <v>6</v>
      </c>
      <c r="G103">
        <v>2</v>
      </c>
      <c r="H103">
        <f>10/10</f>
        <v>1</v>
      </c>
      <c r="I103">
        <f>10/10</f>
        <v>1</v>
      </c>
      <c r="J103">
        <v>10</v>
      </c>
      <c r="K103">
        <v>10</v>
      </c>
      <c r="L103">
        <v>1.83</v>
      </c>
      <c r="M103" s="2">
        <v>0.3888888888888889</v>
      </c>
      <c r="N103" t="s">
        <v>8</v>
      </c>
    </row>
    <row r="104" spans="1:14" x14ac:dyDescent="0.75">
      <c r="A104" s="1">
        <v>45831</v>
      </c>
      <c r="B104" t="s">
        <v>16</v>
      </c>
      <c r="C104" s="2">
        <v>0.65208333333333335</v>
      </c>
      <c r="D104">
        <v>16.100000000000001</v>
      </c>
      <c r="E104">
        <v>32.5</v>
      </c>
      <c r="F104">
        <v>0.5</v>
      </c>
      <c r="G104">
        <v>1</v>
      </c>
      <c r="H104">
        <f>2/11</f>
        <v>0.18181818181818182</v>
      </c>
      <c r="I104">
        <f>2/11</f>
        <v>0.18181818181818182</v>
      </c>
      <c r="J104">
        <v>11</v>
      </c>
      <c r="K104">
        <v>11</v>
      </c>
      <c r="L104">
        <v>1.5</v>
      </c>
      <c r="M104" s="2">
        <v>0.35416666666666669</v>
      </c>
      <c r="N104" t="s">
        <v>8</v>
      </c>
    </row>
    <row r="105" spans="1:14" x14ac:dyDescent="0.75">
      <c r="A105" s="1">
        <v>45831</v>
      </c>
      <c r="B105" t="s">
        <v>16</v>
      </c>
      <c r="C105" s="2">
        <v>0.65208333333333335</v>
      </c>
      <c r="D105">
        <v>16.100000000000001</v>
      </c>
      <c r="E105">
        <v>32.5</v>
      </c>
      <c r="F105">
        <v>0.75</v>
      </c>
      <c r="G105">
        <v>1</v>
      </c>
      <c r="H105">
        <f>0/9</f>
        <v>0</v>
      </c>
      <c r="I105">
        <f>9/9</f>
        <v>1</v>
      </c>
      <c r="J105">
        <v>9</v>
      </c>
      <c r="K105">
        <v>9</v>
      </c>
      <c r="L105">
        <v>2</v>
      </c>
      <c r="M105" s="2">
        <v>0.35416666666666669</v>
      </c>
      <c r="N105" t="s">
        <v>14</v>
      </c>
    </row>
    <row r="106" spans="1:14" x14ac:dyDescent="0.75">
      <c r="A106" s="1">
        <v>45838</v>
      </c>
      <c r="B106" t="s">
        <v>105</v>
      </c>
      <c r="C106" s="2">
        <v>0.47708333333333336</v>
      </c>
      <c r="D106">
        <v>16.8</v>
      </c>
      <c r="E106">
        <v>32.5</v>
      </c>
      <c r="F106">
        <v>1</v>
      </c>
      <c r="G106">
        <v>1</v>
      </c>
      <c r="H106">
        <f>9/10</f>
        <v>0.9</v>
      </c>
      <c r="I106">
        <f>10/10</f>
        <v>1</v>
      </c>
      <c r="J106">
        <v>10</v>
      </c>
      <c r="K106">
        <v>10</v>
      </c>
      <c r="L106">
        <v>1.69</v>
      </c>
      <c r="M106" s="2">
        <v>0.3888888888888889</v>
      </c>
      <c r="N106" t="s">
        <v>8</v>
      </c>
    </row>
    <row r="107" spans="1:14" x14ac:dyDescent="0.75">
      <c r="A107" s="1">
        <v>45838</v>
      </c>
      <c r="B107" t="s">
        <v>105</v>
      </c>
      <c r="C107" s="2">
        <v>0.46736111111111112</v>
      </c>
      <c r="D107">
        <v>16.8</v>
      </c>
      <c r="E107">
        <v>32.5</v>
      </c>
      <c r="F107">
        <v>2</v>
      </c>
      <c r="G107">
        <v>1</v>
      </c>
      <c r="H107">
        <f>10/10</f>
        <v>1</v>
      </c>
      <c r="I107">
        <f>10/10</f>
        <v>1</v>
      </c>
      <c r="J107">
        <v>10</v>
      </c>
      <c r="K107">
        <v>10</v>
      </c>
      <c r="L107">
        <v>1.9</v>
      </c>
      <c r="M107" s="2">
        <v>0.3888888888888889</v>
      </c>
      <c r="N107" t="s">
        <v>8</v>
      </c>
    </row>
    <row r="108" spans="1:14" x14ac:dyDescent="0.75">
      <c r="A108" s="1">
        <v>45838</v>
      </c>
      <c r="B108" t="s">
        <v>105</v>
      </c>
      <c r="C108" s="2">
        <v>0.45694444444444443</v>
      </c>
      <c r="D108">
        <v>16.8</v>
      </c>
      <c r="E108">
        <v>32.5</v>
      </c>
      <c r="F108">
        <v>4</v>
      </c>
      <c r="G108">
        <v>1</v>
      </c>
      <c r="H108">
        <f>10/10</f>
        <v>1</v>
      </c>
      <c r="I108">
        <f>10/10</f>
        <v>1</v>
      </c>
      <c r="J108">
        <v>10</v>
      </c>
      <c r="K108">
        <v>10</v>
      </c>
      <c r="L108">
        <v>2.06</v>
      </c>
      <c r="M108" s="2">
        <v>0.3888888888888889</v>
      </c>
      <c r="N108" t="s">
        <v>8</v>
      </c>
    </row>
    <row r="109" spans="1:14" x14ac:dyDescent="0.75">
      <c r="A109" s="1">
        <v>45838</v>
      </c>
      <c r="B109" t="s">
        <v>105</v>
      </c>
      <c r="C109" s="2">
        <v>0.44930555555555557</v>
      </c>
      <c r="D109">
        <v>16.8</v>
      </c>
      <c r="E109">
        <v>32.5</v>
      </c>
      <c r="F109">
        <v>6</v>
      </c>
      <c r="G109">
        <v>1</v>
      </c>
      <c r="H109">
        <f>10/10</f>
        <v>1</v>
      </c>
      <c r="I109">
        <f>10/10</f>
        <v>1</v>
      </c>
      <c r="J109">
        <v>10</v>
      </c>
      <c r="K109">
        <v>10</v>
      </c>
      <c r="L109">
        <v>1.89</v>
      </c>
      <c r="M109" s="2">
        <v>0.3888888888888889</v>
      </c>
      <c r="N109" t="s">
        <v>8</v>
      </c>
    </row>
    <row r="110" spans="1:14" x14ac:dyDescent="0.75">
      <c r="A110" s="1">
        <v>45837</v>
      </c>
      <c r="B110" t="s">
        <v>108</v>
      </c>
      <c r="C110" s="2">
        <v>0.62361111111111112</v>
      </c>
      <c r="D110">
        <v>16.7</v>
      </c>
      <c r="E110">
        <v>33</v>
      </c>
      <c r="F110">
        <v>0.5</v>
      </c>
      <c r="G110">
        <v>3</v>
      </c>
      <c r="H110">
        <f>9/10</f>
        <v>0.9</v>
      </c>
      <c r="I110">
        <f>8/10</f>
        <v>0.8</v>
      </c>
      <c r="J110">
        <v>10</v>
      </c>
      <c r="K110">
        <v>10</v>
      </c>
      <c r="L110">
        <v>1.76</v>
      </c>
      <c r="M110" s="2">
        <v>0.37847222222222221</v>
      </c>
      <c r="N110" t="s">
        <v>8</v>
      </c>
    </row>
    <row r="111" spans="1:14" x14ac:dyDescent="0.75">
      <c r="A111" s="1">
        <v>45837</v>
      </c>
      <c r="B111" t="s">
        <v>108</v>
      </c>
      <c r="C111" s="2">
        <v>0.62361111111111112</v>
      </c>
      <c r="D111">
        <v>16.7</v>
      </c>
      <c r="E111">
        <v>33</v>
      </c>
      <c r="F111">
        <v>0.75</v>
      </c>
      <c r="G111">
        <v>3</v>
      </c>
      <c r="H111">
        <f>10/10</f>
        <v>1</v>
      </c>
      <c r="I111">
        <f>9/10</f>
        <v>0.9</v>
      </c>
      <c r="J111">
        <v>10</v>
      </c>
      <c r="K111">
        <v>10</v>
      </c>
      <c r="L111">
        <v>1.86</v>
      </c>
      <c r="M111" s="2">
        <v>0.37847222222222221</v>
      </c>
      <c r="N111" t="s">
        <v>8</v>
      </c>
    </row>
    <row r="112" spans="1:14" x14ac:dyDescent="0.75">
      <c r="A112" s="1">
        <v>45837</v>
      </c>
      <c r="B112" t="s">
        <v>108</v>
      </c>
      <c r="C112" s="2">
        <v>0.61527777777777781</v>
      </c>
      <c r="D112">
        <v>16.7</v>
      </c>
      <c r="E112">
        <v>33</v>
      </c>
      <c r="F112">
        <v>1</v>
      </c>
      <c r="G112">
        <v>3</v>
      </c>
      <c r="H112">
        <f>10/10</f>
        <v>1</v>
      </c>
      <c r="I112">
        <f>10/10</f>
        <v>1</v>
      </c>
      <c r="J112">
        <v>10</v>
      </c>
      <c r="K112">
        <v>10</v>
      </c>
      <c r="L112">
        <v>1.57</v>
      </c>
      <c r="M112" s="2">
        <v>0.37847222222222199</v>
      </c>
      <c r="N112" t="s">
        <v>8</v>
      </c>
    </row>
    <row r="113" spans="1:14" x14ac:dyDescent="0.75">
      <c r="A113" s="1">
        <v>45837</v>
      </c>
      <c r="B113" t="s">
        <v>108</v>
      </c>
      <c r="C113" s="2">
        <v>0.61527777777777781</v>
      </c>
      <c r="D113">
        <v>16.7</v>
      </c>
      <c r="E113">
        <v>33</v>
      </c>
      <c r="F113">
        <v>2</v>
      </c>
      <c r="G113">
        <v>3</v>
      </c>
      <c r="H113">
        <f>10/10</f>
        <v>1</v>
      </c>
      <c r="I113">
        <f>10/10</f>
        <v>1</v>
      </c>
      <c r="J113">
        <v>10</v>
      </c>
      <c r="K113">
        <v>10</v>
      </c>
      <c r="L113">
        <v>1.39</v>
      </c>
      <c r="M113" s="2">
        <v>0.37847222222222199</v>
      </c>
      <c r="N113" t="s">
        <v>8</v>
      </c>
    </row>
    <row r="114" spans="1:14" x14ac:dyDescent="0.75">
      <c r="A114" s="1">
        <v>45837</v>
      </c>
      <c r="B114" t="s">
        <v>108</v>
      </c>
      <c r="C114" s="2">
        <v>0.62361111111111112</v>
      </c>
      <c r="D114">
        <v>16.7</v>
      </c>
      <c r="E114">
        <v>33</v>
      </c>
      <c r="F114">
        <v>0.5</v>
      </c>
      <c r="G114">
        <v>4</v>
      </c>
      <c r="H114">
        <f>9/10</f>
        <v>0.9</v>
      </c>
      <c r="I114">
        <f>9/10</f>
        <v>0.9</v>
      </c>
      <c r="J114">
        <v>10</v>
      </c>
      <c r="K114">
        <v>10</v>
      </c>
      <c r="L114">
        <v>2.2799999999999998</v>
      </c>
      <c r="M114" s="2">
        <v>0.37847222222222199</v>
      </c>
      <c r="N114" t="s">
        <v>8</v>
      </c>
    </row>
    <row r="115" spans="1:14" x14ac:dyDescent="0.75">
      <c r="A115" s="1">
        <v>45837</v>
      </c>
      <c r="B115" t="s">
        <v>108</v>
      </c>
      <c r="C115" s="2">
        <v>0.62361111111111112</v>
      </c>
      <c r="D115">
        <v>16.7</v>
      </c>
      <c r="E115">
        <v>33</v>
      </c>
      <c r="F115">
        <v>0.75</v>
      </c>
      <c r="G115">
        <v>4</v>
      </c>
      <c r="H115">
        <f t="shared" ref="H115:H121" si="3">10/10</f>
        <v>1</v>
      </c>
      <c r="I115">
        <f t="shared" ref="I115:I121" si="4">10/10</f>
        <v>1</v>
      </c>
      <c r="J115">
        <v>10</v>
      </c>
      <c r="K115">
        <v>10</v>
      </c>
      <c r="L115">
        <v>2.63</v>
      </c>
      <c r="M115" s="2">
        <v>0.37847222222222199</v>
      </c>
      <c r="N115" t="s">
        <v>14</v>
      </c>
    </row>
    <row r="116" spans="1:14" x14ac:dyDescent="0.75">
      <c r="A116" s="1">
        <v>45837</v>
      </c>
      <c r="B116" t="s">
        <v>108</v>
      </c>
      <c r="C116" s="2">
        <v>0.61527777777777781</v>
      </c>
      <c r="D116">
        <v>16.7</v>
      </c>
      <c r="E116">
        <v>33</v>
      </c>
      <c r="F116">
        <v>1</v>
      </c>
      <c r="G116">
        <v>4</v>
      </c>
      <c r="H116">
        <f t="shared" si="3"/>
        <v>1</v>
      </c>
      <c r="I116">
        <f t="shared" si="4"/>
        <v>1</v>
      </c>
      <c r="J116">
        <v>10</v>
      </c>
      <c r="K116">
        <v>10</v>
      </c>
      <c r="L116">
        <v>2.15</v>
      </c>
      <c r="M116" s="2">
        <v>0.37847222222222199</v>
      </c>
      <c r="N116" t="s">
        <v>14</v>
      </c>
    </row>
    <row r="117" spans="1:14" x14ac:dyDescent="0.75">
      <c r="A117" s="1">
        <v>45837</v>
      </c>
      <c r="B117" t="s">
        <v>108</v>
      </c>
      <c r="C117" s="2">
        <v>0.61527777777777781</v>
      </c>
      <c r="D117">
        <v>16.7</v>
      </c>
      <c r="E117">
        <v>33</v>
      </c>
      <c r="F117">
        <v>2</v>
      </c>
      <c r="G117">
        <v>4</v>
      </c>
      <c r="H117">
        <f t="shared" si="3"/>
        <v>1</v>
      </c>
      <c r="I117">
        <f t="shared" si="4"/>
        <v>1</v>
      </c>
      <c r="J117">
        <v>10</v>
      </c>
      <c r="K117">
        <v>10</v>
      </c>
      <c r="L117">
        <v>2.19</v>
      </c>
      <c r="M117" s="2">
        <v>0.37847222222222199</v>
      </c>
      <c r="N117" t="s">
        <v>14</v>
      </c>
    </row>
    <row r="118" spans="1:14" x14ac:dyDescent="0.75">
      <c r="A118" s="1">
        <v>45837</v>
      </c>
      <c r="B118" t="s">
        <v>108</v>
      </c>
      <c r="C118" s="2">
        <v>0.62361111111111112</v>
      </c>
      <c r="D118">
        <v>16.7</v>
      </c>
      <c r="E118">
        <v>33</v>
      </c>
      <c r="F118">
        <v>0.5</v>
      </c>
      <c r="G118">
        <v>5</v>
      </c>
      <c r="H118">
        <f t="shared" si="3"/>
        <v>1</v>
      </c>
      <c r="I118">
        <f t="shared" si="4"/>
        <v>1</v>
      </c>
      <c r="J118">
        <v>10</v>
      </c>
      <c r="K118">
        <v>10</v>
      </c>
      <c r="L118">
        <v>1.46</v>
      </c>
      <c r="M118" s="2">
        <v>0.37847222222222199</v>
      </c>
      <c r="N118" t="s">
        <v>110</v>
      </c>
    </row>
    <row r="119" spans="1:14" x14ac:dyDescent="0.75">
      <c r="A119" s="1">
        <v>45837</v>
      </c>
      <c r="B119" t="s">
        <v>108</v>
      </c>
      <c r="C119" s="2">
        <v>0.62361111111111112</v>
      </c>
      <c r="D119">
        <v>16.7</v>
      </c>
      <c r="E119">
        <v>33</v>
      </c>
      <c r="F119">
        <v>0.75</v>
      </c>
      <c r="G119">
        <v>5</v>
      </c>
      <c r="H119">
        <f t="shared" si="3"/>
        <v>1</v>
      </c>
      <c r="I119">
        <f t="shared" si="4"/>
        <v>1</v>
      </c>
      <c r="J119">
        <v>10</v>
      </c>
      <c r="K119">
        <v>10</v>
      </c>
      <c r="L119">
        <v>1.91</v>
      </c>
      <c r="M119" s="2">
        <v>0.37847222222222199</v>
      </c>
      <c r="N119" t="s">
        <v>110</v>
      </c>
    </row>
    <row r="120" spans="1:14" x14ac:dyDescent="0.75">
      <c r="A120" s="1">
        <v>45837</v>
      </c>
      <c r="B120" t="s">
        <v>108</v>
      </c>
      <c r="C120" s="2">
        <v>0.61527777777777781</v>
      </c>
      <c r="D120">
        <v>16.7</v>
      </c>
      <c r="E120">
        <v>33</v>
      </c>
      <c r="F120">
        <v>1</v>
      </c>
      <c r="G120">
        <v>5</v>
      </c>
      <c r="H120">
        <f t="shared" si="3"/>
        <v>1</v>
      </c>
      <c r="I120">
        <f t="shared" si="4"/>
        <v>1</v>
      </c>
      <c r="J120">
        <v>10</v>
      </c>
      <c r="K120">
        <v>10</v>
      </c>
      <c r="L120">
        <v>1.91</v>
      </c>
      <c r="M120" s="2">
        <v>0.37847222222222199</v>
      </c>
      <c r="N120" t="s">
        <v>110</v>
      </c>
    </row>
    <row r="121" spans="1:14" x14ac:dyDescent="0.75">
      <c r="A121" s="1">
        <v>45837</v>
      </c>
      <c r="B121" t="s">
        <v>108</v>
      </c>
      <c r="C121" s="2">
        <v>0.61527777777777781</v>
      </c>
      <c r="D121">
        <v>16.7</v>
      </c>
      <c r="E121">
        <v>33</v>
      </c>
      <c r="F121">
        <v>2</v>
      </c>
      <c r="G121">
        <v>5</v>
      </c>
      <c r="H121">
        <f t="shared" si="3"/>
        <v>1</v>
      </c>
      <c r="I121">
        <f t="shared" si="4"/>
        <v>1</v>
      </c>
      <c r="J121">
        <v>10</v>
      </c>
      <c r="K121">
        <v>10</v>
      </c>
      <c r="L121">
        <v>1.68</v>
      </c>
      <c r="M121" s="2">
        <v>0.37847222222222199</v>
      </c>
      <c r="N121" t="s">
        <v>110</v>
      </c>
    </row>
    <row r="122" spans="1:14" x14ac:dyDescent="0.75">
      <c r="A122" s="1">
        <v>45837</v>
      </c>
      <c r="B122" t="s">
        <v>108</v>
      </c>
      <c r="C122" s="2">
        <v>0.7319444444444444</v>
      </c>
      <c r="D122">
        <v>16.7</v>
      </c>
      <c r="E122">
        <v>33</v>
      </c>
      <c r="F122">
        <v>0.25</v>
      </c>
      <c r="G122">
        <v>3</v>
      </c>
      <c r="H122">
        <f>9/10</f>
        <v>0.9</v>
      </c>
      <c r="I122">
        <f>3/10</f>
        <v>0.3</v>
      </c>
      <c r="J122">
        <v>10</v>
      </c>
      <c r="K122">
        <v>10</v>
      </c>
      <c r="L122">
        <v>1.89</v>
      </c>
      <c r="M122" s="2">
        <v>0.37847222222222199</v>
      </c>
      <c r="N122" t="s">
        <v>8</v>
      </c>
    </row>
    <row r="123" spans="1:14" x14ac:dyDescent="0.75">
      <c r="A123" s="1">
        <v>45837</v>
      </c>
      <c r="B123" t="s">
        <v>108</v>
      </c>
      <c r="C123" s="2">
        <v>0.7319444444444444</v>
      </c>
      <c r="D123">
        <v>16.7</v>
      </c>
      <c r="E123">
        <v>33</v>
      </c>
      <c r="F123">
        <v>0.25</v>
      </c>
      <c r="G123">
        <v>4</v>
      </c>
      <c r="H123">
        <f>7/10</f>
        <v>0.7</v>
      </c>
      <c r="I123">
        <f>4/10</f>
        <v>0.4</v>
      </c>
      <c r="J123">
        <v>10</v>
      </c>
      <c r="K123">
        <v>10</v>
      </c>
      <c r="L123">
        <v>1.64</v>
      </c>
      <c r="M123" s="2">
        <v>0.37847222222222199</v>
      </c>
      <c r="N123" t="s">
        <v>14</v>
      </c>
    </row>
    <row r="124" spans="1:14" x14ac:dyDescent="0.75">
      <c r="A124" s="1">
        <v>45837</v>
      </c>
      <c r="B124" t="s">
        <v>108</v>
      </c>
      <c r="C124" s="2">
        <v>0.7319444444444444</v>
      </c>
      <c r="D124">
        <v>16.7</v>
      </c>
      <c r="E124">
        <v>33</v>
      </c>
      <c r="F124">
        <v>0.25</v>
      </c>
      <c r="G124">
        <v>5</v>
      </c>
      <c r="H124">
        <f>8/10</f>
        <v>0.8</v>
      </c>
      <c r="I124">
        <f>7/10</f>
        <v>0.7</v>
      </c>
      <c r="J124">
        <v>10</v>
      </c>
      <c r="K124">
        <v>10</v>
      </c>
      <c r="L124">
        <v>1.52</v>
      </c>
      <c r="M124" s="2">
        <v>0.37847222222222199</v>
      </c>
      <c r="N124" t="s">
        <v>110</v>
      </c>
    </row>
    <row r="125" spans="1:14" x14ac:dyDescent="0.75">
      <c r="A125" s="1">
        <v>45837</v>
      </c>
      <c r="B125" t="s">
        <v>108</v>
      </c>
      <c r="C125" s="2">
        <v>0.75624999999999998</v>
      </c>
      <c r="D125">
        <v>16.7</v>
      </c>
      <c r="E125">
        <v>33</v>
      </c>
      <c r="F125">
        <f>5/60</f>
        <v>8.3333333333333329E-2</v>
      </c>
      <c r="G125">
        <v>3</v>
      </c>
      <c r="H125">
        <f>3/10</f>
        <v>0.3</v>
      </c>
      <c r="I125">
        <f>1/10</f>
        <v>0.1</v>
      </c>
      <c r="J125">
        <v>10</v>
      </c>
      <c r="K125">
        <v>10</v>
      </c>
      <c r="L125">
        <v>1.8</v>
      </c>
      <c r="M125" s="2">
        <v>0.37847222222222199</v>
      </c>
      <c r="N125" t="s">
        <v>8</v>
      </c>
    </row>
    <row r="126" spans="1:14" x14ac:dyDescent="0.75">
      <c r="A126" s="1">
        <v>45837</v>
      </c>
      <c r="B126" t="s">
        <v>108</v>
      </c>
      <c r="C126" s="2">
        <v>0.75624999999999998</v>
      </c>
      <c r="D126">
        <v>16.7</v>
      </c>
      <c r="E126">
        <v>33</v>
      </c>
      <c r="F126">
        <f>5/60</f>
        <v>8.3333333333333329E-2</v>
      </c>
      <c r="G126">
        <v>4</v>
      </c>
      <c r="H126">
        <f>6/10</f>
        <v>0.6</v>
      </c>
      <c r="I126">
        <f>6/10</f>
        <v>0.6</v>
      </c>
      <c r="J126">
        <v>10</v>
      </c>
      <c r="K126">
        <v>10</v>
      </c>
      <c r="L126">
        <v>1.68</v>
      </c>
      <c r="M126" s="2">
        <v>0.37847222222222199</v>
      </c>
      <c r="N126" t="s">
        <v>14</v>
      </c>
    </row>
    <row r="127" spans="1:14" x14ac:dyDescent="0.75">
      <c r="A127" s="1">
        <v>45837</v>
      </c>
      <c r="B127" t="s">
        <v>108</v>
      </c>
      <c r="C127" s="2">
        <v>0.75624999999999998</v>
      </c>
      <c r="D127">
        <v>16.7</v>
      </c>
      <c r="E127">
        <v>33</v>
      </c>
      <c r="F127">
        <f>5/60</f>
        <v>8.3333333333333329E-2</v>
      </c>
      <c r="G127">
        <v>5</v>
      </c>
      <c r="H127">
        <f>2/10</f>
        <v>0.2</v>
      </c>
      <c r="I127">
        <f>2/10</f>
        <v>0.2</v>
      </c>
      <c r="J127">
        <v>10</v>
      </c>
      <c r="K127">
        <v>10</v>
      </c>
      <c r="L127">
        <v>1.76</v>
      </c>
      <c r="M127" s="2">
        <v>0.37847222222222199</v>
      </c>
      <c r="N127" t="s">
        <v>110</v>
      </c>
    </row>
    <row r="128" spans="1:14" x14ac:dyDescent="0.75">
      <c r="A128" s="1">
        <v>45838</v>
      </c>
      <c r="B128" t="s">
        <v>105</v>
      </c>
      <c r="C128" s="2">
        <v>0.52430555555555558</v>
      </c>
      <c r="D128">
        <v>16.8</v>
      </c>
      <c r="E128">
        <v>30</v>
      </c>
      <c r="F128">
        <v>0.5</v>
      </c>
      <c r="G128">
        <v>6</v>
      </c>
      <c r="H128">
        <f>0/10</f>
        <v>0</v>
      </c>
      <c r="I128">
        <f>1/10</f>
        <v>0.1</v>
      </c>
      <c r="J128">
        <v>10</v>
      </c>
      <c r="K128">
        <v>10</v>
      </c>
      <c r="L128">
        <v>1.49</v>
      </c>
      <c r="M128" s="2">
        <v>0.3888888888888889</v>
      </c>
      <c r="N128" t="s">
        <v>8</v>
      </c>
    </row>
    <row r="129" spans="1:14" x14ac:dyDescent="0.75">
      <c r="A129" s="1">
        <v>45838</v>
      </c>
      <c r="B129" t="s">
        <v>105</v>
      </c>
      <c r="C129" s="2">
        <v>0.4909722222222222</v>
      </c>
      <c r="D129">
        <v>16.8</v>
      </c>
      <c r="E129">
        <v>30</v>
      </c>
      <c r="F129">
        <v>0.75</v>
      </c>
      <c r="G129">
        <v>6</v>
      </c>
      <c r="H129">
        <f>1/10</f>
        <v>0.1</v>
      </c>
      <c r="I129">
        <f>1/10</f>
        <v>0.1</v>
      </c>
      <c r="J129">
        <v>10</v>
      </c>
      <c r="K129">
        <v>10</v>
      </c>
      <c r="L129">
        <v>2.13</v>
      </c>
      <c r="M129" s="2">
        <v>0.3888888888888889</v>
      </c>
      <c r="N129" t="s">
        <v>8</v>
      </c>
    </row>
    <row r="130" spans="1:14" x14ac:dyDescent="0.75">
      <c r="A130" s="1">
        <v>45838</v>
      </c>
      <c r="B130" t="s">
        <v>105</v>
      </c>
      <c r="C130" s="2">
        <v>0.52430555555555558</v>
      </c>
      <c r="D130">
        <v>16.8</v>
      </c>
      <c r="E130">
        <v>30.5</v>
      </c>
      <c r="F130">
        <v>0.5</v>
      </c>
      <c r="G130">
        <v>5</v>
      </c>
      <c r="H130">
        <f>0/10</f>
        <v>0</v>
      </c>
      <c r="I130">
        <f>1/10</f>
        <v>0.1</v>
      </c>
      <c r="J130">
        <v>10</v>
      </c>
      <c r="K130">
        <v>10</v>
      </c>
      <c r="L130">
        <v>1.89</v>
      </c>
      <c r="M130" s="2">
        <v>0.3888888888888889</v>
      </c>
      <c r="N130" t="s">
        <v>8</v>
      </c>
    </row>
    <row r="131" spans="1:14" x14ac:dyDescent="0.75">
      <c r="A131" s="1">
        <v>45838</v>
      </c>
      <c r="B131" t="s">
        <v>105</v>
      </c>
      <c r="C131" s="2">
        <v>0.4909722222222222</v>
      </c>
      <c r="D131">
        <v>16.8</v>
      </c>
      <c r="E131">
        <v>30.5</v>
      </c>
      <c r="F131">
        <v>0.75</v>
      </c>
      <c r="G131">
        <v>5</v>
      </c>
      <c r="H131">
        <f>2/10</f>
        <v>0.2</v>
      </c>
      <c r="I131">
        <f>2/10</f>
        <v>0.2</v>
      </c>
      <c r="J131">
        <v>10</v>
      </c>
      <c r="K131">
        <v>10</v>
      </c>
      <c r="L131">
        <v>1.98</v>
      </c>
      <c r="M131" s="2">
        <v>0.3888888888888889</v>
      </c>
      <c r="N131" t="s">
        <v>8</v>
      </c>
    </row>
    <row r="132" spans="1:14" x14ac:dyDescent="0.75">
      <c r="A132" s="1">
        <v>45838</v>
      </c>
      <c r="B132" t="s">
        <v>105</v>
      </c>
      <c r="C132" s="2">
        <v>0.52430555555555558</v>
      </c>
      <c r="D132">
        <v>16.8</v>
      </c>
      <c r="E132">
        <v>31</v>
      </c>
      <c r="F132">
        <v>0.5</v>
      </c>
      <c r="G132">
        <v>4</v>
      </c>
      <c r="H132">
        <f>0/10</f>
        <v>0</v>
      </c>
      <c r="I132">
        <f>0/10</f>
        <v>0</v>
      </c>
      <c r="J132">
        <v>10</v>
      </c>
      <c r="K132">
        <v>10</v>
      </c>
      <c r="L132">
        <v>1.69</v>
      </c>
      <c r="M132" s="2">
        <v>0.38888888888888901</v>
      </c>
      <c r="N132" t="s">
        <v>8</v>
      </c>
    </row>
    <row r="133" spans="1:14" x14ac:dyDescent="0.75">
      <c r="A133" s="1">
        <v>45838</v>
      </c>
      <c r="B133" t="s">
        <v>105</v>
      </c>
      <c r="C133" s="2">
        <v>0.4909722222222222</v>
      </c>
      <c r="D133">
        <v>16.8</v>
      </c>
      <c r="E133">
        <v>31</v>
      </c>
      <c r="F133">
        <v>0.75</v>
      </c>
      <c r="G133">
        <v>4</v>
      </c>
      <c r="H133">
        <f>1/10</f>
        <v>0.1</v>
      </c>
      <c r="I133">
        <f>1/10</f>
        <v>0.1</v>
      </c>
      <c r="J133">
        <v>10</v>
      </c>
      <c r="K133">
        <v>10</v>
      </c>
      <c r="L133">
        <v>1.64</v>
      </c>
      <c r="M133" s="2">
        <v>0.38888888888888901</v>
      </c>
      <c r="N133" t="s">
        <v>8</v>
      </c>
    </row>
    <row r="134" spans="1:14" x14ac:dyDescent="0.75">
      <c r="A134" s="1">
        <v>45838</v>
      </c>
      <c r="B134" t="s">
        <v>105</v>
      </c>
      <c r="C134" s="2">
        <v>0.52430555555555558</v>
      </c>
      <c r="D134">
        <v>16.8</v>
      </c>
      <c r="E134">
        <v>31.5</v>
      </c>
      <c r="F134">
        <v>0.5</v>
      </c>
      <c r="G134">
        <v>3</v>
      </c>
      <c r="H134">
        <f>0/10</f>
        <v>0</v>
      </c>
      <c r="I134">
        <f>0/10</f>
        <v>0</v>
      </c>
      <c r="J134">
        <v>10</v>
      </c>
      <c r="K134">
        <v>10</v>
      </c>
      <c r="L134">
        <v>1.84</v>
      </c>
      <c r="M134" s="2">
        <v>0.38888888888888901</v>
      </c>
      <c r="N134" t="s">
        <v>8</v>
      </c>
    </row>
    <row r="135" spans="1:14" x14ac:dyDescent="0.75">
      <c r="A135" s="1">
        <v>45838</v>
      </c>
      <c r="B135" t="s">
        <v>105</v>
      </c>
      <c r="C135" s="2">
        <v>0.4909722222222222</v>
      </c>
      <c r="D135">
        <v>16.8</v>
      </c>
      <c r="E135">
        <v>31.5</v>
      </c>
      <c r="F135">
        <v>0.75</v>
      </c>
      <c r="G135">
        <v>3</v>
      </c>
      <c r="H135">
        <f>1/10</f>
        <v>0.1</v>
      </c>
      <c r="I135">
        <f>1/10</f>
        <v>0.1</v>
      </c>
      <c r="J135">
        <v>10</v>
      </c>
      <c r="K135">
        <v>10</v>
      </c>
      <c r="L135">
        <v>1.85</v>
      </c>
      <c r="M135" s="2">
        <v>0.38888888888888901</v>
      </c>
      <c r="N135" t="s">
        <v>8</v>
      </c>
    </row>
    <row r="136" spans="1:14" x14ac:dyDescent="0.75">
      <c r="A136" s="1">
        <v>45838</v>
      </c>
      <c r="B136" t="s">
        <v>105</v>
      </c>
      <c r="C136" s="2">
        <v>0.52430555555555558</v>
      </c>
      <c r="D136">
        <v>16.8</v>
      </c>
      <c r="E136">
        <v>32</v>
      </c>
      <c r="F136">
        <v>0.5</v>
      </c>
      <c r="G136">
        <v>2</v>
      </c>
      <c r="H136">
        <f>0/10</f>
        <v>0</v>
      </c>
      <c r="I136">
        <f>0/10</f>
        <v>0</v>
      </c>
      <c r="J136">
        <v>10</v>
      </c>
      <c r="K136">
        <v>10</v>
      </c>
      <c r="L136">
        <v>1.63</v>
      </c>
      <c r="M136" s="2">
        <v>0.38888888888888901</v>
      </c>
      <c r="N136" t="s">
        <v>8</v>
      </c>
    </row>
    <row r="137" spans="1:14" x14ac:dyDescent="0.75">
      <c r="A137" s="1">
        <v>45838</v>
      </c>
      <c r="B137" t="s">
        <v>105</v>
      </c>
      <c r="C137" s="2">
        <v>0.4909722222222222</v>
      </c>
      <c r="D137">
        <v>16.8</v>
      </c>
      <c r="E137">
        <v>32</v>
      </c>
      <c r="F137">
        <v>0.75</v>
      </c>
      <c r="G137">
        <v>2</v>
      </c>
      <c r="H137">
        <f>4/10</f>
        <v>0.4</v>
      </c>
      <c r="I137">
        <f>5/10</f>
        <v>0.5</v>
      </c>
      <c r="J137">
        <v>10</v>
      </c>
      <c r="K137">
        <v>10</v>
      </c>
      <c r="L137">
        <v>1.79</v>
      </c>
      <c r="M137" s="2">
        <v>0.38888888888888901</v>
      </c>
      <c r="N137" t="s">
        <v>8</v>
      </c>
    </row>
    <row r="138" spans="1:14" x14ac:dyDescent="0.75">
      <c r="A138" s="1">
        <v>45838</v>
      </c>
      <c r="B138" t="s">
        <v>105</v>
      </c>
      <c r="C138" s="2">
        <v>0.52430555555555558</v>
      </c>
      <c r="D138">
        <v>16.8</v>
      </c>
      <c r="E138">
        <v>32.5</v>
      </c>
      <c r="F138">
        <v>0.5</v>
      </c>
      <c r="G138">
        <v>1</v>
      </c>
      <c r="H138">
        <f>3/10</f>
        <v>0.3</v>
      </c>
      <c r="I138">
        <f>3/10</f>
        <v>0.3</v>
      </c>
      <c r="J138">
        <v>10</v>
      </c>
      <c r="K138">
        <v>10</v>
      </c>
      <c r="L138">
        <v>1.29</v>
      </c>
      <c r="M138" s="2">
        <v>0.38888888888888901</v>
      </c>
      <c r="N138" t="s">
        <v>8</v>
      </c>
    </row>
    <row r="139" spans="1:14" x14ac:dyDescent="0.75">
      <c r="A139" s="1">
        <v>45838</v>
      </c>
      <c r="B139" t="s">
        <v>105</v>
      </c>
      <c r="C139" s="2">
        <v>0.4909722222222222</v>
      </c>
      <c r="D139">
        <v>16.8</v>
      </c>
      <c r="E139">
        <v>32.5</v>
      </c>
      <c r="F139">
        <v>0.75</v>
      </c>
      <c r="G139">
        <v>1</v>
      </c>
      <c r="H139">
        <f>6/10</f>
        <v>0.6</v>
      </c>
      <c r="I139">
        <f>8/10</f>
        <v>0.8</v>
      </c>
      <c r="J139">
        <v>10</v>
      </c>
      <c r="K139">
        <v>10</v>
      </c>
      <c r="L139">
        <v>1.89</v>
      </c>
      <c r="M139" s="2">
        <v>0.38888888888888901</v>
      </c>
      <c r="N139" t="s">
        <v>8</v>
      </c>
    </row>
    <row r="140" spans="1:14" x14ac:dyDescent="0.75">
      <c r="A140" s="1">
        <v>45838</v>
      </c>
      <c r="B140" t="s">
        <v>105</v>
      </c>
      <c r="C140" s="2">
        <v>0.44930555555555557</v>
      </c>
      <c r="D140">
        <v>16.8</v>
      </c>
      <c r="E140">
        <v>30</v>
      </c>
      <c r="F140">
        <v>6</v>
      </c>
      <c r="G140">
        <v>6</v>
      </c>
      <c r="H140">
        <f>4/10</f>
        <v>0.4</v>
      </c>
      <c r="I140">
        <f>4/10</f>
        <v>0.4</v>
      </c>
      <c r="J140">
        <v>10</v>
      </c>
      <c r="K140">
        <v>10</v>
      </c>
      <c r="L140">
        <v>2.11</v>
      </c>
      <c r="M140" s="2">
        <v>0.38888888888888901</v>
      </c>
      <c r="N140" t="s">
        <v>8</v>
      </c>
    </row>
    <row r="141" spans="1:14" x14ac:dyDescent="0.75">
      <c r="A141" s="1">
        <v>45838</v>
      </c>
      <c r="B141" t="s">
        <v>105</v>
      </c>
      <c r="C141" s="2">
        <v>0.44930555555555557</v>
      </c>
      <c r="D141">
        <v>16.8</v>
      </c>
      <c r="E141">
        <v>30.5</v>
      </c>
      <c r="F141">
        <v>6</v>
      </c>
      <c r="G141">
        <v>6</v>
      </c>
      <c r="H141">
        <f>10/10</f>
        <v>1</v>
      </c>
      <c r="I141">
        <f>10/10</f>
        <v>1</v>
      </c>
      <c r="J141">
        <v>10</v>
      </c>
      <c r="K141">
        <v>10</v>
      </c>
      <c r="L141">
        <v>2</v>
      </c>
      <c r="M141" s="2">
        <v>0.38888888888888901</v>
      </c>
      <c r="N141" t="s">
        <v>8</v>
      </c>
    </row>
    <row r="142" spans="1:14" x14ac:dyDescent="0.75">
      <c r="A142" s="1">
        <v>45838</v>
      </c>
      <c r="B142" t="s">
        <v>105</v>
      </c>
      <c r="C142" s="2">
        <v>0.54583333333333328</v>
      </c>
      <c r="D142">
        <v>16.8</v>
      </c>
      <c r="E142">
        <v>32</v>
      </c>
      <c r="F142">
        <v>0.25</v>
      </c>
      <c r="G142">
        <v>2</v>
      </c>
      <c r="H142">
        <f>2/10</f>
        <v>0.2</v>
      </c>
      <c r="I142">
        <f>2/10</f>
        <v>0.2</v>
      </c>
      <c r="J142">
        <v>10</v>
      </c>
      <c r="K142">
        <v>10</v>
      </c>
      <c r="L142">
        <v>1.5</v>
      </c>
      <c r="M142" s="2">
        <v>0.38888888888888901</v>
      </c>
      <c r="N142" t="s">
        <v>8</v>
      </c>
    </row>
    <row r="143" spans="1:14" x14ac:dyDescent="0.75">
      <c r="A143" s="1">
        <v>45838</v>
      </c>
      <c r="B143" t="s">
        <v>105</v>
      </c>
      <c r="C143" s="2">
        <v>0.54583333333333328</v>
      </c>
      <c r="D143">
        <v>16.8</v>
      </c>
      <c r="E143">
        <v>32</v>
      </c>
      <c r="F143">
        <v>0.25</v>
      </c>
      <c r="G143">
        <v>2</v>
      </c>
      <c r="H143">
        <f>1/10</f>
        <v>0.1</v>
      </c>
      <c r="I143">
        <f>1/10</f>
        <v>0.1</v>
      </c>
      <c r="J143">
        <v>10</v>
      </c>
      <c r="K143">
        <v>10</v>
      </c>
      <c r="L143">
        <v>1.68</v>
      </c>
      <c r="M143" s="2">
        <v>0.38888888888888901</v>
      </c>
      <c r="N143" t="s">
        <v>8</v>
      </c>
    </row>
    <row r="144" spans="1:14" x14ac:dyDescent="0.75">
      <c r="A144" s="1">
        <v>45838</v>
      </c>
      <c r="B144" t="s">
        <v>105</v>
      </c>
      <c r="C144" s="2">
        <v>0.70902777777777781</v>
      </c>
      <c r="D144">
        <v>16.8</v>
      </c>
      <c r="E144">
        <v>32</v>
      </c>
      <c r="F144">
        <v>0.25</v>
      </c>
      <c r="G144">
        <v>1</v>
      </c>
      <c r="H144">
        <f>2/10</f>
        <v>0.2</v>
      </c>
      <c r="I144">
        <f>2/10</f>
        <v>0.2</v>
      </c>
      <c r="J144">
        <v>10</v>
      </c>
      <c r="K144">
        <v>10</v>
      </c>
      <c r="L144">
        <v>1.89</v>
      </c>
      <c r="M144" s="2">
        <v>0.38888888888888901</v>
      </c>
      <c r="N144" t="s">
        <v>8</v>
      </c>
    </row>
    <row r="145" spans="1:14" x14ac:dyDescent="0.75">
      <c r="A145" s="1">
        <v>45838</v>
      </c>
      <c r="B145" t="s">
        <v>105</v>
      </c>
      <c r="C145" s="2">
        <v>0.70902777777777781</v>
      </c>
      <c r="D145">
        <v>16.8</v>
      </c>
      <c r="E145">
        <v>32</v>
      </c>
      <c r="F145">
        <v>0.25</v>
      </c>
      <c r="G145">
        <v>1</v>
      </c>
      <c r="H145">
        <f>1/10</f>
        <v>0.1</v>
      </c>
      <c r="I145">
        <f>1/10</f>
        <v>0.1</v>
      </c>
      <c r="J145">
        <v>10</v>
      </c>
      <c r="K145">
        <v>10</v>
      </c>
      <c r="L145">
        <v>1.51</v>
      </c>
      <c r="M145" s="2">
        <v>0.38888888888888901</v>
      </c>
      <c r="N145" t="s">
        <v>8</v>
      </c>
    </row>
    <row r="146" spans="1:14" x14ac:dyDescent="0.75">
      <c r="A146" s="1">
        <v>45838</v>
      </c>
      <c r="B146" t="s">
        <v>105</v>
      </c>
      <c r="C146" s="2">
        <v>0.54583333333333328</v>
      </c>
      <c r="D146">
        <v>16.8</v>
      </c>
      <c r="E146">
        <v>32.5</v>
      </c>
      <c r="F146">
        <v>0.25</v>
      </c>
      <c r="G146">
        <v>1</v>
      </c>
      <c r="H146">
        <f>0/10</f>
        <v>0</v>
      </c>
      <c r="I146">
        <f>1/10</f>
        <v>0.1</v>
      </c>
      <c r="J146">
        <v>10</v>
      </c>
      <c r="K146">
        <v>10</v>
      </c>
      <c r="L146">
        <v>1.45</v>
      </c>
      <c r="M146" s="2">
        <v>0.38888888888888901</v>
      </c>
      <c r="N146" t="s">
        <v>8</v>
      </c>
    </row>
    <row r="147" spans="1:14" x14ac:dyDescent="0.75">
      <c r="A147" s="1">
        <v>45838</v>
      </c>
      <c r="B147" t="s">
        <v>105</v>
      </c>
      <c r="C147" s="2">
        <v>0.54583333333333328</v>
      </c>
      <c r="D147">
        <v>16.8</v>
      </c>
      <c r="E147">
        <v>32.5</v>
      </c>
      <c r="F147">
        <v>0.25</v>
      </c>
      <c r="G147">
        <v>1</v>
      </c>
      <c r="H147">
        <f>1/10</f>
        <v>0.1</v>
      </c>
      <c r="I147">
        <f>1/10</f>
        <v>0.1</v>
      </c>
      <c r="J147">
        <v>10</v>
      </c>
      <c r="K147">
        <v>10</v>
      </c>
      <c r="L147">
        <v>2.79</v>
      </c>
      <c r="M147" s="2">
        <v>0.38888888888888901</v>
      </c>
      <c r="N147" t="s">
        <v>8</v>
      </c>
    </row>
    <row r="148" spans="1:14" x14ac:dyDescent="0.75">
      <c r="A148" s="1">
        <v>45838</v>
      </c>
      <c r="B148" t="s">
        <v>105</v>
      </c>
      <c r="C148" s="2">
        <v>0.70902777777777781</v>
      </c>
      <c r="D148">
        <v>16.8</v>
      </c>
      <c r="E148">
        <v>32.5</v>
      </c>
      <c r="F148">
        <v>0.25</v>
      </c>
      <c r="G148">
        <v>2</v>
      </c>
      <c r="H148">
        <f>3/10</f>
        <v>0.3</v>
      </c>
      <c r="I148">
        <f>3/10</f>
        <v>0.3</v>
      </c>
      <c r="J148">
        <v>10</v>
      </c>
      <c r="K148">
        <v>10</v>
      </c>
      <c r="L148">
        <v>1.47</v>
      </c>
      <c r="M148" s="2">
        <v>0.38888888888888901</v>
      </c>
      <c r="N148" t="s">
        <v>8</v>
      </c>
    </row>
    <row r="149" spans="1:14" x14ac:dyDescent="0.75">
      <c r="A149" s="1">
        <v>45838</v>
      </c>
      <c r="B149" t="s">
        <v>105</v>
      </c>
      <c r="C149" s="2">
        <v>0.70902777777777781</v>
      </c>
      <c r="D149">
        <v>16.8</v>
      </c>
      <c r="E149">
        <v>32.5</v>
      </c>
      <c r="F149">
        <v>0.25</v>
      </c>
      <c r="G149">
        <v>2</v>
      </c>
      <c r="H149">
        <f>0/11</f>
        <v>0</v>
      </c>
      <c r="I149">
        <f>0/11</f>
        <v>0</v>
      </c>
      <c r="J149">
        <v>11</v>
      </c>
      <c r="K149">
        <v>11</v>
      </c>
      <c r="L149">
        <v>1.55</v>
      </c>
      <c r="M149" s="2">
        <v>0.38888888888888901</v>
      </c>
      <c r="N149"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2CC1D-AB15-496D-A175-FB63A6B50D9B}">
  <dimension ref="A1:K490"/>
  <sheetViews>
    <sheetView topLeftCell="A339" zoomScale="66" workbookViewId="0">
      <selection activeCell="C143" sqref="C143"/>
    </sheetView>
  </sheetViews>
  <sheetFormatPr defaultRowHeight="14.75" x14ac:dyDescent="0.75"/>
  <cols>
    <col min="1" max="1" width="18.81640625" customWidth="1"/>
    <col min="2" max="2" width="18.953125" customWidth="1"/>
    <col min="3" max="3" width="16.7265625" bestFit="1" customWidth="1"/>
    <col min="4" max="7" width="16.7265625" customWidth="1"/>
    <col min="8" max="8" width="12" bestFit="1" customWidth="1"/>
    <col min="9" max="9" width="17.1796875" bestFit="1" customWidth="1"/>
    <col min="10" max="10" width="17.1796875" customWidth="1"/>
    <col min="11" max="11" width="145.81640625" bestFit="1" customWidth="1"/>
  </cols>
  <sheetData>
    <row r="1" spans="1:11" x14ac:dyDescent="0.75">
      <c r="A1" s="3" t="s">
        <v>0</v>
      </c>
      <c r="B1" s="3" t="s">
        <v>25</v>
      </c>
      <c r="C1" s="3" t="s">
        <v>20</v>
      </c>
      <c r="D1" s="3" t="s">
        <v>6</v>
      </c>
      <c r="E1" s="3" t="s">
        <v>86</v>
      </c>
      <c r="F1" s="3" t="s">
        <v>62</v>
      </c>
      <c r="G1" s="3" t="s">
        <v>59</v>
      </c>
      <c r="H1" s="3" t="s">
        <v>1</v>
      </c>
      <c r="I1" s="3" t="s">
        <v>60</v>
      </c>
      <c r="J1" s="3" t="s">
        <v>73</v>
      </c>
      <c r="K1" s="3" t="s">
        <v>7</v>
      </c>
    </row>
    <row r="2" spans="1:11" x14ac:dyDescent="0.75">
      <c r="A2" s="1">
        <v>45833</v>
      </c>
      <c r="B2" s="1" t="s">
        <v>80</v>
      </c>
      <c r="C2" t="s">
        <v>61</v>
      </c>
      <c r="D2">
        <v>16.7</v>
      </c>
      <c r="E2">
        <v>6</v>
      </c>
      <c r="F2">
        <v>30.5</v>
      </c>
      <c r="G2" t="s">
        <v>63</v>
      </c>
      <c r="H2" s="5">
        <v>0.42424768518518519</v>
      </c>
      <c r="I2" s="5">
        <v>0.44186342592592592</v>
      </c>
      <c r="J2" s="5" t="s">
        <v>74</v>
      </c>
      <c r="K2" t="s">
        <v>66</v>
      </c>
    </row>
    <row r="3" spans="1:11" x14ac:dyDescent="0.75">
      <c r="A3" s="1">
        <v>45833</v>
      </c>
      <c r="B3" s="1" t="s">
        <v>80</v>
      </c>
      <c r="C3" t="s">
        <v>61</v>
      </c>
      <c r="D3">
        <v>16.7</v>
      </c>
      <c r="E3">
        <v>6</v>
      </c>
      <c r="F3">
        <v>30.5</v>
      </c>
      <c r="G3" t="s">
        <v>63</v>
      </c>
      <c r="H3" s="5">
        <v>0.42424768518518519</v>
      </c>
      <c r="I3" s="5">
        <v>0.44239583333333332</v>
      </c>
      <c r="J3" s="5" t="s">
        <v>74</v>
      </c>
      <c r="K3" t="s">
        <v>66</v>
      </c>
    </row>
    <row r="4" spans="1:11" x14ac:dyDescent="0.75">
      <c r="A4" s="1">
        <v>45833</v>
      </c>
      <c r="B4" s="1" t="s">
        <v>80</v>
      </c>
      <c r="C4" t="s">
        <v>61</v>
      </c>
      <c r="D4">
        <v>16.7</v>
      </c>
      <c r="E4">
        <v>6</v>
      </c>
      <c r="F4">
        <v>30.5</v>
      </c>
      <c r="G4" t="s">
        <v>63</v>
      </c>
      <c r="H4" s="5">
        <v>0.42424768518518502</v>
      </c>
      <c r="I4" s="5">
        <v>0.49982638888888886</v>
      </c>
      <c r="J4" s="5" t="s">
        <v>74</v>
      </c>
      <c r="K4" t="s">
        <v>66</v>
      </c>
    </row>
    <row r="5" spans="1:11" x14ac:dyDescent="0.75">
      <c r="A5" s="1">
        <v>45833</v>
      </c>
      <c r="B5" s="1" t="s">
        <v>80</v>
      </c>
      <c r="C5" t="s">
        <v>61</v>
      </c>
      <c r="D5">
        <v>16.7</v>
      </c>
      <c r="E5">
        <v>6</v>
      </c>
      <c r="F5">
        <v>30.5</v>
      </c>
      <c r="G5" t="s">
        <v>63</v>
      </c>
      <c r="H5" s="5">
        <v>0.42424768518518502</v>
      </c>
      <c r="I5" s="5">
        <v>0.70370370370370372</v>
      </c>
      <c r="J5" s="5" t="s">
        <v>74</v>
      </c>
      <c r="K5" t="s">
        <v>66</v>
      </c>
    </row>
    <row r="6" spans="1:11" x14ac:dyDescent="0.75">
      <c r="A6" s="1">
        <v>45833</v>
      </c>
      <c r="B6" s="1" t="s">
        <v>80</v>
      </c>
      <c r="C6" t="s">
        <v>61</v>
      </c>
      <c r="D6">
        <v>16.7</v>
      </c>
      <c r="E6">
        <v>6</v>
      </c>
      <c r="F6">
        <v>30.5</v>
      </c>
      <c r="G6" t="s">
        <v>63</v>
      </c>
      <c r="H6" s="5">
        <v>0.42424768518518502</v>
      </c>
      <c r="I6" s="5" t="s">
        <v>8</v>
      </c>
      <c r="J6" s="5" t="s">
        <v>74</v>
      </c>
      <c r="K6" t="s">
        <v>71</v>
      </c>
    </row>
    <row r="7" spans="1:11" x14ac:dyDescent="0.75">
      <c r="A7" s="1">
        <v>45833</v>
      </c>
      <c r="B7" s="1" t="s">
        <v>80</v>
      </c>
      <c r="C7" t="s">
        <v>61</v>
      </c>
      <c r="D7">
        <v>16.7</v>
      </c>
      <c r="E7">
        <v>6</v>
      </c>
      <c r="F7">
        <v>30.5</v>
      </c>
      <c r="G7" t="s">
        <v>64</v>
      </c>
      <c r="H7" s="5">
        <v>0.42424768518518502</v>
      </c>
      <c r="I7" s="5">
        <v>0.43402777777777779</v>
      </c>
      <c r="J7" s="5" t="s">
        <v>74</v>
      </c>
      <c r="K7" t="s">
        <v>66</v>
      </c>
    </row>
    <row r="8" spans="1:11" x14ac:dyDescent="0.75">
      <c r="A8" s="1">
        <v>45833</v>
      </c>
      <c r="B8" s="1" t="s">
        <v>80</v>
      </c>
      <c r="C8" t="s">
        <v>61</v>
      </c>
      <c r="D8">
        <v>16.7</v>
      </c>
      <c r="E8">
        <v>6</v>
      </c>
      <c r="F8">
        <v>30.5</v>
      </c>
      <c r="G8" t="s">
        <v>64</v>
      </c>
      <c r="H8" s="5">
        <v>0.42424768518518502</v>
      </c>
      <c r="I8" s="5">
        <v>0.43718750000000001</v>
      </c>
      <c r="J8" s="5" t="s">
        <v>74</v>
      </c>
      <c r="K8" t="s">
        <v>66</v>
      </c>
    </row>
    <row r="9" spans="1:11" x14ac:dyDescent="0.75">
      <c r="A9" s="1">
        <v>45833</v>
      </c>
      <c r="B9" s="1" t="s">
        <v>80</v>
      </c>
      <c r="C9" t="s">
        <v>61</v>
      </c>
      <c r="D9">
        <v>16.7</v>
      </c>
      <c r="E9">
        <v>6</v>
      </c>
      <c r="F9">
        <v>30.5</v>
      </c>
      <c r="G9" t="s">
        <v>64</v>
      </c>
      <c r="H9" s="5">
        <v>0.42424768518518502</v>
      </c>
      <c r="I9" s="5">
        <v>0.43718750000000001</v>
      </c>
      <c r="J9" s="5" t="s">
        <v>74</v>
      </c>
      <c r="K9" t="s">
        <v>66</v>
      </c>
    </row>
    <row r="10" spans="1:11" x14ac:dyDescent="0.75">
      <c r="A10" s="1">
        <v>45833</v>
      </c>
      <c r="B10" s="1" t="s">
        <v>80</v>
      </c>
      <c r="C10" t="s">
        <v>61</v>
      </c>
      <c r="D10">
        <v>16.7</v>
      </c>
      <c r="E10">
        <v>6</v>
      </c>
      <c r="F10">
        <v>30.5</v>
      </c>
      <c r="G10" t="s">
        <v>64</v>
      </c>
      <c r="H10" s="5">
        <v>0.42424768518518502</v>
      </c>
      <c r="I10" s="5">
        <v>0.56215277777777772</v>
      </c>
      <c r="J10" s="5" t="s">
        <v>74</v>
      </c>
      <c r="K10" t="s">
        <v>66</v>
      </c>
    </row>
    <row r="11" spans="1:11" x14ac:dyDescent="0.75">
      <c r="A11" s="1">
        <v>45833</v>
      </c>
      <c r="B11" s="1" t="s">
        <v>80</v>
      </c>
      <c r="C11" t="s">
        <v>61</v>
      </c>
      <c r="D11">
        <v>16.7</v>
      </c>
      <c r="E11">
        <v>6</v>
      </c>
      <c r="F11">
        <v>30.5</v>
      </c>
      <c r="G11" t="s">
        <v>64</v>
      </c>
      <c r="H11" s="5">
        <v>0.42424768518518502</v>
      </c>
      <c r="I11" s="5">
        <v>0.62424768518518514</v>
      </c>
      <c r="J11" s="5" t="s">
        <v>74</v>
      </c>
      <c r="K11" t="s">
        <v>66</v>
      </c>
    </row>
    <row r="12" spans="1:11" x14ac:dyDescent="0.75">
      <c r="A12" s="1">
        <v>45833</v>
      </c>
      <c r="B12" s="1" t="s">
        <v>80</v>
      </c>
      <c r="C12" t="s">
        <v>61</v>
      </c>
      <c r="D12">
        <v>16.7</v>
      </c>
      <c r="E12">
        <v>6</v>
      </c>
      <c r="F12">
        <v>30.5</v>
      </c>
      <c r="G12" t="s">
        <v>65</v>
      </c>
      <c r="H12" s="5">
        <v>0.42424768518518502</v>
      </c>
      <c r="I12" s="5">
        <v>0.4480439814814815</v>
      </c>
      <c r="J12" s="5" t="s">
        <v>74</v>
      </c>
      <c r="K12" t="s">
        <v>66</v>
      </c>
    </row>
    <row r="13" spans="1:11" x14ac:dyDescent="0.75">
      <c r="A13" s="1">
        <v>45833</v>
      </c>
      <c r="B13" s="1" t="s">
        <v>80</v>
      </c>
      <c r="C13" t="s">
        <v>61</v>
      </c>
      <c r="D13">
        <v>16.7</v>
      </c>
      <c r="E13">
        <v>6</v>
      </c>
      <c r="F13">
        <v>30.5</v>
      </c>
      <c r="G13" t="s">
        <v>65</v>
      </c>
      <c r="H13" s="5">
        <v>0.42424768518518502</v>
      </c>
      <c r="I13" s="5">
        <v>0.45266203703703706</v>
      </c>
      <c r="J13" s="5" t="s">
        <v>74</v>
      </c>
      <c r="K13" t="s">
        <v>66</v>
      </c>
    </row>
    <row r="14" spans="1:11" x14ac:dyDescent="0.75">
      <c r="A14" s="1">
        <v>45833</v>
      </c>
      <c r="B14" s="1" t="s">
        <v>80</v>
      </c>
      <c r="C14" t="s">
        <v>61</v>
      </c>
      <c r="D14">
        <v>16.7</v>
      </c>
      <c r="E14">
        <v>6</v>
      </c>
      <c r="F14">
        <v>30.5</v>
      </c>
      <c r="G14" t="s">
        <v>65</v>
      </c>
      <c r="H14" s="5">
        <v>0.42424768518518502</v>
      </c>
      <c r="I14" s="5">
        <v>0.47598379629629628</v>
      </c>
      <c r="J14" s="5" t="s">
        <v>74</v>
      </c>
      <c r="K14" t="s">
        <v>66</v>
      </c>
    </row>
    <row r="15" spans="1:11" x14ac:dyDescent="0.75">
      <c r="A15" s="1">
        <v>45833</v>
      </c>
      <c r="B15" s="1" t="s">
        <v>80</v>
      </c>
      <c r="C15" t="s">
        <v>61</v>
      </c>
      <c r="D15">
        <v>16.7</v>
      </c>
      <c r="E15">
        <v>6</v>
      </c>
      <c r="F15">
        <v>30.5</v>
      </c>
      <c r="G15" t="s">
        <v>65</v>
      </c>
      <c r="H15" s="5">
        <v>0.42424768518518502</v>
      </c>
      <c r="I15" s="5">
        <v>0.52789351851851851</v>
      </c>
      <c r="J15" s="5" t="s">
        <v>74</v>
      </c>
      <c r="K15" t="s">
        <v>66</v>
      </c>
    </row>
    <row r="16" spans="1:11" x14ac:dyDescent="0.75">
      <c r="A16" s="1">
        <v>45833</v>
      </c>
      <c r="B16" s="1" t="s">
        <v>80</v>
      </c>
      <c r="C16" t="s">
        <v>61</v>
      </c>
      <c r="D16">
        <v>16.7</v>
      </c>
      <c r="E16">
        <v>6</v>
      </c>
      <c r="F16">
        <v>30.5</v>
      </c>
      <c r="G16" t="s">
        <v>65</v>
      </c>
      <c r="H16" s="5">
        <v>0.42424768518518502</v>
      </c>
      <c r="I16" s="5" t="s">
        <v>8</v>
      </c>
      <c r="J16" s="5" t="s">
        <v>74</v>
      </c>
      <c r="K16" t="s">
        <v>72</v>
      </c>
    </row>
    <row r="17" spans="1:11" x14ac:dyDescent="0.75">
      <c r="A17" s="1">
        <v>45833</v>
      </c>
      <c r="B17" s="1" t="s">
        <v>80</v>
      </c>
      <c r="C17" t="s">
        <v>61</v>
      </c>
      <c r="D17">
        <v>16.7</v>
      </c>
      <c r="E17">
        <v>5</v>
      </c>
      <c r="F17">
        <v>30.5</v>
      </c>
      <c r="G17" t="s">
        <v>67</v>
      </c>
      <c r="H17" s="5">
        <v>0.42462962962962963</v>
      </c>
      <c r="I17" s="5">
        <v>0.46489583333333334</v>
      </c>
      <c r="J17" s="5" t="s">
        <v>74</v>
      </c>
      <c r="K17" t="s">
        <v>66</v>
      </c>
    </row>
    <row r="18" spans="1:11" x14ac:dyDescent="0.75">
      <c r="A18" s="1">
        <v>45833</v>
      </c>
      <c r="B18" s="1" t="s">
        <v>80</v>
      </c>
      <c r="C18" t="s">
        <v>61</v>
      </c>
      <c r="D18">
        <v>16.7</v>
      </c>
      <c r="E18">
        <v>5</v>
      </c>
      <c r="F18">
        <v>30.5</v>
      </c>
      <c r="G18" t="s">
        <v>67</v>
      </c>
      <c r="H18" s="5">
        <v>0.42462962962962963</v>
      </c>
      <c r="I18" s="5">
        <v>0.48011574074074076</v>
      </c>
      <c r="J18" s="5" t="s">
        <v>74</v>
      </c>
      <c r="K18" t="s">
        <v>66</v>
      </c>
    </row>
    <row r="19" spans="1:11" x14ac:dyDescent="0.75">
      <c r="A19" s="1">
        <v>45833</v>
      </c>
      <c r="B19" s="1" t="s">
        <v>80</v>
      </c>
      <c r="C19" t="s">
        <v>61</v>
      </c>
      <c r="D19">
        <v>16.7</v>
      </c>
      <c r="E19">
        <v>5</v>
      </c>
      <c r="F19">
        <v>30.5</v>
      </c>
      <c r="G19" t="s">
        <v>67</v>
      </c>
      <c r="H19" s="5">
        <v>0.42462962962963002</v>
      </c>
      <c r="I19" s="5">
        <v>0.49733796296296295</v>
      </c>
      <c r="J19" s="5" t="s">
        <v>74</v>
      </c>
      <c r="K19" t="s">
        <v>66</v>
      </c>
    </row>
    <row r="20" spans="1:11" x14ac:dyDescent="0.75">
      <c r="A20" s="1">
        <v>45833</v>
      </c>
      <c r="B20" s="1" t="s">
        <v>80</v>
      </c>
      <c r="C20" t="s">
        <v>61</v>
      </c>
      <c r="D20">
        <v>16.7</v>
      </c>
      <c r="E20">
        <v>5</v>
      </c>
      <c r="F20">
        <v>30.5</v>
      </c>
      <c r="G20" t="s">
        <v>67</v>
      </c>
      <c r="H20" s="5">
        <v>0.42462962962963002</v>
      </c>
      <c r="I20" s="5" t="s">
        <v>8</v>
      </c>
      <c r="J20" s="5" t="s">
        <v>74</v>
      </c>
      <c r="K20" t="s">
        <v>75</v>
      </c>
    </row>
    <row r="21" spans="1:11" x14ac:dyDescent="0.75">
      <c r="A21" s="1">
        <v>45833</v>
      </c>
      <c r="B21" s="1" t="s">
        <v>80</v>
      </c>
      <c r="C21" t="s">
        <v>61</v>
      </c>
      <c r="D21">
        <v>16.7</v>
      </c>
      <c r="E21">
        <v>5</v>
      </c>
      <c r="F21">
        <v>30.5</v>
      </c>
      <c r="G21" t="s">
        <v>67</v>
      </c>
      <c r="H21" s="5">
        <v>0.42462962962963002</v>
      </c>
      <c r="I21" s="5" t="s">
        <v>8</v>
      </c>
      <c r="J21" s="5" t="s">
        <v>74</v>
      </c>
      <c r="K21" t="s">
        <v>72</v>
      </c>
    </row>
    <row r="22" spans="1:11" x14ac:dyDescent="0.75">
      <c r="A22" s="1">
        <v>45833</v>
      </c>
      <c r="B22" s="1" t="s">
        <v>80</v>
      </c>
      <c r="C22" t="s">
        <v>61</v>
      </c>
      <c r="D22">
        <v>16.7</v>
      </c>
      <c r="E22">
        <v>5</v>
      </c>
      <c r="F22">
        <v>30.5</v>
      </c>
      <c r="G22" t="s">
        <v>69</v>
      </c>
      <c r="H22" s="5">
        <v>0.42462962962963002</v>
      </c>
      <c r="I22" s="5">
        <v>0.45923611111111112</v>
      </c>
      <c r="J22" s="5" t="s">
        <v>74</v>
      </c>
      <c r="K22" t="s">
        <v>66</v>
      </c>
    </row>
    <row r="23" spans="1:11" x14ac:dyDescent="0.75">
      <c r="A23" s="1">
        <v>45833</v>
      </c>
      <c r="B23" s="1" t="s">
        <v>80</v>
      </c>
      <c r="C23" t="s">
        <v>61</v>
      </c>
      <c r="D23">
        <v>16.7</v>
      </c>
      <c r="E23">
        <v>5</v>
      </c>
      <c r="F23">
        <v>30.5</v>
      </c>
      <c r="G23" t="s">
        <v>69</v>
      </c>
      <c r="H23" s="5">
        <v>0.42462962962963002</v>
      </c>
      <c r="I23" s="5">
        <v>0.47878472222222224</v>
      </c>
      <c r="J23" s="5" t="s">
        <v>74</v>
      </c>
      <c r="K23" t="s">
        <v>66</v>
      </c>
    </row>
    <row r="24" spans="1:11" x14ac:dyDescent="0.75">
      <c r="A24" s="1">
        <v>45833</v>
      </c>
      <c r="B24" s="1" t="s">
        <v>80</v>
      </c>
      <c r="C24" t="s">
        <v>61</v>
      </c>
      <c r="D24">
        <v>16.7</v>
      </c>
      <c r="E24">
        <v>5</v>
      </c>
      <c r="F24">
        <v>30.5</v>
      </c>
      <c r="G24" t="s">
        <v>69</v>
      </c>
      <c r="H24" s="5">
        <v>0.42462962962963002</v>
      </c>
      <c r="I24" s="5">
        <v>0.56822916666666667</v>
      </c>
      <c r="J24" s="5" t="s">
        <v>74</v>
      </c>
      <c r="K24" t="s">
        <v>66</v>
      </c>
    </row>
    <row r="25" spans="1:11" x14ac:dyDescent="0.75">
      <c r="A25" s="1">
        <v>45833</v>
      </c>
      <c r="B25" s="1" t="s">
        <v>80</v>
      </c>
      <c r="C25" t="s">
        <v>61</v>
      </c>
      <c r="D25">
        <v>16.7</v>
      </c>
      <c r="E25">
        <v>5</v>
      </c>
      <c r="F25">
        <v>30.5</v>
      </c>
      <c r="G25" t="s">
        <v>69</v>
      </c>
      <c r="H25" s="5">
        <v>0.42462962962963002</v>
      </c>
      <c r="I25" s="5">
        <v>0.61371527777777779</v>
      </c>
      <c r="J25" s="5" t="s">
        <v>74</v>
      </c>
      <c r="K25" t="s">
        <v>66</v>
      </c>
    </row>
    <row r="26" spans="1:11" x14ac:dyDescent="0.75">
      <c r="A26" s="1">
        <v>45833</v>
      </c>
      <c r="B26" s="1" t="s">
        <v>80</v>
      </c>
      <c r="C26" t="s">
        <v>61</v>
      </c>
      <c r="D26">
        <v>16.7</v>
      </c>
      <c r="E26">
        <v>5</v>
      </c>
      <c r="F26">
        <v>30.5</v>
      </c>
      <c r="G26" t="s">
        <v>69</v>
      </c>
      <c r="H26" s="5">
        <v>0.42462962962963002</v>
      </c>
      <c r="I26" s="5">
        <v>0.7591782407407407</v>
      </c>
      <c r="J26" s="5" t="s">
        <v>74</v>
      </c>
      <c r="K26" t="s">
        <v>66</v>
      </c>
    </row>
    <row r="27" spans="1:11" x14ac:dyDescent="0.75">
      <c r="A27" s="1">
        <v>45833</v>
      </c>
      <c r="B27" s="1" t="s">
        <v>80</v>
      </c>
      <c r="C27" t="s">
        <v>61</v>
      </c>
      <c r="D27">
        <v>16.7</v>
      </c>
      <c r="E27">
        <v>5</v>
      </c>
      <c r="F27">
        <v>30.5</v>
      </c>
      <c r="G27" t="s">
        <v>70</v>
      </c>
      <c r="H27" s="5">
        <v>0.42462962962963002</v>
      </c>
      <c r="I27" s="5">
        <v>0.43640046296296298</v>
      </c>
      <c r="J27" s="5" t="s">
        <v>74</v>
      </c>
      <c r="K27" t="s">
        <v>66</v>
      </c>
    </row>
    <row r="28" spans="1:11" x14ac:dyDescent="0.75">
      <c r="A28" s="1">
        <v>45833</v>
      </c>
      <c r="B28" s="1" t="s">
        <v>80</v>
      </c>
      <c r="C28" t="s">
        <v>61</v>
      </c>
      <c r="D28">
        <v>16.7</v>
      </c>
      <c r="E28">
        <v>5</v>
      </c>
      <c r="F28">
        <v>30.5</v>
      </c>
      <c r="G28" t="s">
        <v>70</v>
      </c>
      <c r="H28" s="5">
        <v>0.42462962962963002</v>
      </c>
      <c r="I28" s="5">
        <v>0.47285879629629629</v>
      </c>
      <c r="J28" s="5" t="s">
        <v>74</v>
      </c>
      <c r="K28" t="s">
        <v>66</v>
      </c>
    </row>
    <row r="29" spans="1:11" x14ac:dyDescent="0.75">
      <c r="A29" s="1">
        <v>45833</v>
      </c>
      <c r="B29" s="1" t="s">
        <v>80</v>
      </c>
      <c r="C29" t="s">
        <v>61</v>
      </c>
      <c r="D29">
        <v>16.7</v>
      </c>
      <c r="E29">
        <v>5</v>
      </c>
      <c r="F29">
        <v>30.5</v>
      </c>
      <c r="G29" t="s">
        <v>70</v>
      </c>
      <c r="H29" s="5">
        <v>0.42462962962963002</v>
      </c>
      <c r="I29" s="5">
        <v>0.49959490740740742</v>
      </c>
      <c r="J29" s="5" t="s">
        <v>74</v>
      </c>
      <c r="K29" t="s">
        <v>66</v>
      </c>
    </row>
    <row r="30" spans="1:11" x14ac:dyDescent="0.75">
      <c r="A30" s="1">
        <v>45833</v>
      </c>
      <c r="B30" s="1" t="s">
        <v>80</v>
      </c>
      <c r="C30" t="s">
        <v>61</v>
      </c>
      <c r="D30">
        <v>16.7</v>
      </c>
      <c r="E30">
        <v>5</v>
      </c>
      <c r="F30">
        <v>30.5</v>
      </c>
      <c r="G30" t="s">
        <v>70</v>
      </c>
      <c r="H30" s="5">
        <v>0.42462962962963002</v>
      </c>
      <c r="I30" s="5" t="s">
        <v>8</v>
      </c>
      <c r="J30" s="5" t="s">
        <v>74</v>
      </c>
      <c r="K30" t="s">
        <v>71</v>
      </c>
    </row>
    <row r="31" spans="1:11" x14ac:dyDescent="0.75">
      <c r="A31" s="1">
        <v>45833</v>
      </c>
      <c r="B31" s="1" t="s">
        <v>80</v>
      </c>
      <c r="C31" t="s">
        <v>61</v>
      </c>
      <c r="D31">
        <v>16.7</v>
      </c>
      <c r="E31">
        <v>5</v>
      </c>
      <c r="F31">
        <v>30.5</v>
      </c>
      <c r="G31" t="s">
        <v>70</v>
      </c>
      <c r="H31" s="5">
        <v>0.42462962962963002</v>
      </c>
      <c r="I31" s="5" t="s">
        <v>8</v>
      </c>
      <c r="J31" s="5" t="s">
        <v>74</v>
      </c>
      <c r="K31" t="s">
        <v>71</v>
      </c>
    </row>
    <row r="32" spans="1:11" x14ac:dyDescent="0.75">
      <c r="A32" s="1">
        <v>45833</v>
      </c>
      <c r="B32" s="1" t="s">
        <v>80</v>
      </c>
      <c r="C32" t="s">
        <v>61</v>
      </c>
      <c r="D32">
        <v>16.7</v>
      </c>
      <c r="E32">
        <v>4</v>
      </c>
      <c r="F32">
        <v>30.6</v>
      </c>
      <c r="G32" t="s">
        <v>68</v>
      </c>
      <c r="H32" s="5">
        <v>0.42488425925925927</v>
      </c>
      <c r="I32" s="5">
        <v>0.4584259259259259</v>
      </c>
      <c r="J32" s="5" t="s">
        <v>74</v>
      </c>
      <c r="K32" t="s">
        <v>76</v>
      </c>
    </row>
    <row r="33" spans="1:11" x14ac:dyDescent="0.75">
      <c r="A33" s="1">
        <v>45833</v>
      </c>
      <c r="B33" s="1" t="s">
        <v>80</v>
      </c>
      <c r="C33" t="s">
        <v>61</v>
      </c>
      <c r="D33">
        <v>16.7</v>
      </c>
      <c r="E33">
        <v>4</v>
      </c>
      <c r="F33">
        <v>30.6</v>
      </c>
      <c r="G33" t="s">
        <v>68</v>
      </c>
      <c r="H33" s="5">
        <v>0.42488425925925927</v>
      </c>
      <c r="I33" s="5">
        <v>0.49472222222222223</v>
      </c>
      <c r="J33" s="5" t="s">
        <v>74</v>
      </c>
      <c r="K33" t="s">
        <v>76</v>
      </c>
    </row>
    <row r="34" spans="1:11" x14ac:dyDescent="0.75">
      <c r="A34" s="1">
        <v>45833</v>
      </c>
      <c r="B34" s="1" t="s">
        <v>80</v>
      </c>
      <c r="C34" t="s">
        <v>61</v>
      </c>
      <c r="D34">
        <v>16.7</v>
      </c>
      <c r="E34">
        <v>4</v>
      </c>
      <c r="F34">
        <v>30.6</v>
      </c>
      <c r="G34" t="s">
        <v>68</v>
      </c>
      <c r="H34" s="5">
        <v>0.42488425925925927</v>
      </c>
      <c r="I34" s="5">
        <v>0.51401620370370371</v>
      </c>
      <c r="J34" s="5" t="s">
        <v>74</v>
      </c>
      <c r="K34" t="s">
        <v>76</v>
      </c>
    </row>
    <row r="35" spans="1:11" x14ac:dyDescent="0.75">
      <c r="A35" s="1">
        <v>45833</v>
      </c>
      <c r="B35" s="1" t="s">
        <v>80</v>
      </c>
      <c r="C35" t="s">
        <v>61</v>
      </c>
      <c r="D35">
        <v>16.7</v>
      </c>
      <c r="E35">
        <v>4</v>
      </c>
      <c r="F35">
        <v>30.6</v>
      </c>
      <c r="G35" t="s">
        <v>68</v>
      </c>
      <c r="H35" s="5">
        <v>0.42488425925925899</v>
      </c>
      <c r="I35" s="5">
        <v>0.73298611111111112</v>
      </c>
      <c r="J35" s="5" t="s">
        <v>74</v>
      </c>
      <c r="K35" t="s">
        <v>76</v>
      </c>
    </row>
    <row r="36" spans="1:11" x14ac:dyDescent="0.75">
      <c r="A36" s="1">
        <v>45833</v>
      </c>
      <c r="B36" s="1" t="s">
        <v>80</v>
      </c>
      <c r="C36" t="s">
        <v>61</v>
      </c>
      <c r="D36">
        <v>16.7</v>
      </c>
      <c r="E36">
        <v>4</v>
      </c>
      <c r="F36">
        <v>30.6</v>
      </c>
      <c r="G36" t="s">
        <v>68</v>
      </c>
      <c r="H36" s="5">
        <v>0.42488425925925899</v>
      </c>
      <c r="I36" s="5">
        <v>0.73431712962962958</v>
      </c>
      <c r="J36" s="5" t="s">
        <v>74</v>
      </c>
      <c r="K36" t="s">
        <v>76</v>
      </c>
    </row>
    <row r="37" spans="1:11" x14ac:dyDescent="0.75">
      <c r="A37" s="1">
        <v>45833</v>
      </c>
      <c r="B37" s="1" t="s">
        <v>80</v>
      </c>
      <c r="C37" t="s">
        <v>61</v>
      </c>
      <c r="D37">
        <v>16.7</v>
      </c>
      <c r="E37">
        <v>4</v>
      </c>
      <c r="F37">
        <v>30.6</v>
      </c>
      <c r="G37" t="s">
        <v>77</v>
      </c>
      <c r="H37" s="5">
        <v>0.42488425925925899</v>
      </c>
      <c r="I37" s="5">
        <v>0.45630787037037035</v>
      </c>
      <c r="J37" s="5" t="s">
        <v>74</v>
      </c>
      <c r="K37" t="s">
        <v>76</v>
      </c>
    </row>
    <row r="38" spans="1:11" x14ac:dyDescent="0.75">
      <c r="A38" s="1">
        <v>45833</v>
      </c>
      <c r="B38" s="1" t="s">
        <v>80</v>
      </c>
      <c r="C38" t="s">
        <v>61</v>
      </c>
      <c r="D38">
        <v>16.7</v>
      </c>
      <c r="E38">
        <v>4</v>
      </c>
      <c r="F38">
        <v>30.6</v>
      </c>
      <c r="G38" t="s">
        <v>77</v>
      </c>
      <c r="H38" s="5">
        <v>0.42488425925925899</v>
      </c>
      <c r="I38" s="5">
        <v>0.46744212962962961</v>
      </c>
      <c r="J38" s="5" t="s">
        <v>74</v>
      </c>
      <c r="K38" t="s">
        <v>76</v>
      </c>
    </row>
    <row r="39" spans="1:11" x14ac:dyDescent="0.75">
      <c r="A39" s="1">
        <v>45833</v>
      </c>
      <c r="B39" s="1" t="s">
        <v>80</v>
      </c>
      <c r="C39" t="s">
        <v>61</v>
      </c>
      <c r="D39">
        <v>16.7</v>
      </c>
      <c r="E39">
        <v>4</v>
      </c>
      <c r="F39">
        <v>30.6</v>
      </c>
      <c r="G39" t="s">
        <v>77</v>
      </c>
      <c r="H39" s="5">
        <v>0.42488425925925899</v>
      </c>
      <c r="I39" s="5">
        <v>0.4674652777777778</v>
      </c>
      <c r="J39" s="5" t="s">
        <v>74</v>
      </c>
      <c r="K39" t="s">
        <v>76</v>
      </c>
    </row>
    <row r="40" spans="1:11" x14ac:dyDescent="0.75">
      <c r="A40" s="1">
        <v>45833</v>
      </c>
      <c r="B40" s="1" t="s">
        <v>80</v>
      </c>
      <c r="C40" t="s">
        <v>61</v>
      </c>
      <c r="D40">
        <v>16.7</v>
      </c>
      <c r="E40">
        <v>4</v>
      </c>
      <c r="F40">
        <v>30.6</v>
      </c>
      <c r="G40" t="s">
        <v>77</v>
      </c>
      <c r="H40" s="5">
        <v>0.42488425925925899</v>
      </c>
      <c r="I40" s="5">
        <v>0.48167824074074073</v>
      </c>
      <c r="J40" s="5" t="s">
        <v>74</v>
      </c>
      <c r="K40" t="s">
        <v>76</v>
      </c>
    </row>
    <row r="41" spans="1:11" x14ac:dyDescent="0.75">
      <c r="A41" s="1">
        <v>45833</v>
      </c>
      <c r="B41" s="1" t="s">
        <v>80</v>
      </c>
      <c r="C41" t="s">
        <v>61</v>
      </c>
      <c r="D41">
        <v>16.7</v>
      </c>
      <c r="E41">
        <v>4</v>
      </c>
      <c r="F41">
        <v>30.6</v>
      </c>
      <c r="G41" t="s">
        <v>77</v>
      </c>
      <c r="H41" s="5">
        <v>0.42488425925925899</v>
      </c>
      <c r="I41" s="5">
        <v>0.513275462962963</v>
      </c>
      <c r="J41" s="5" t="s">
        <v>74</v>
      </c>
      <c r="K41" t="s">
        <v>76</v>
      </c>
    </row>
    <row r="42" spans="1:11" x14ac:dyDescent="0.75">
      <c r="A42" s="1">
        <v>45833</v>
      </c>
      <c r="B42" s="1" t="s">
        <v>80</v>
      </c>
      <c r="C42" t="s">
        <v>61</v>
      </c>
      <c r="D42">
        <v>16.7</v>
      </c>
      <c r="E42">
        <v>4</v>
      </c>
      <c r="F42">
        <v>30.6</v>
      </c>
      <c r="G42" t="s">
        <v>78</v>
      </c>
      <c r="H42" s="5">
        <v>0.42488425925925899</v>
      </c>
      <c r="I42" s="5">
        <v>0.45667824074074076</v>
      </c>
      <c r="J42" s="5" t="s">
        <v>74</v>
      </c>
      <c r="K42" t="s">
        <v>76</v>
      </c>
    </row>
    <row r="43" spans="1:11" x14ac:dyDescent="0.75">
      <c r="A43" s="1">
        <v>45833</v>
      </c>
      <c r="B43" s="1" t="s">
        <v>80</v>
      </c>
      <c r="C43" t="s">
        <v>61</v>
      </c>
      <c r="D43">
        <v>16.7</v>
      </c>
      <c r="E43">
        <v>4</v>
      </c>
      <c r="F43">
        <v>30.6</v>
      </c>
      <c r="G43" t="s">
        <v>78</v>
      </c>
      <c r="H43" s="5">
        <v>0.42488425925925899</v>
      </c>
      <c r="I43" s="5">
        <v>0.45743055555555556</v>
      </c>
      <c r="J43" s="5" t="s">
        <v>74</v>
      </c>
      <c r="K43" t="s">
        <v>76</v>
      </c>
    </row>
    <row r="44" spans="1:11" x14ac:dyDescent="0.75">
      <c r="A44" s="1">
        <v>45833</v>
      </c>
      <c r="B44" s="1" t="s">
        <v>80</v>
      </c>
      <c r="C44" t="s">
        <v>61</v>
      </c>
      <c r="D44">
        <v>16.7</v>
      </c>
      <c r="E44">
        <v>4</v>
      </c>
      <c r="F44">
        <v>30.6</v>
      </c>
      <c r="G44" t="s">
        <v>78</v>
      </c>
      <c r="H44" s="5">
        <v>0.42488425925925899</v>
      </c>
      <c r="I44" s="5">
        <v>0.45784722222222224</v>
      </c>
      <c r="J44" s="5" t="s">
        <v>74</v>
      </c>
      <c r="K44" t="s">
        <v>76</v>
      </c>
    </row>
    <row r="45" spans="1:11" x14ac:dyDescent="0.75">
      <c r="A45" s="1">
        <v>45833</v>
      </c>
      <c r="B45" s="1" t="s">
        <v>80</v>
      </c>
      <c r="C45" t="s">
        <v>61</v>
      </c>
      <c r="D45">
        <v>16.7</v>
      </c>
      <c r="E45">
        <v>4</v>
      </c>
      <c r="F45">
        <v>30.6</v>
      </c>
      <c r="G45" t="s">
        <v>78</v>
      </c>
      <c r="H45" s="5">
        <v>0.42488425925925899</v>
      </c>
      <c r="I45" s="5">
        <v>0.68770833333333337</v>
      </c>
      <c r="J45" s="5" t="s">
        <v>74</v>
      </c>
      <c r="K45" t="s">
        <v>76</v>
      </c>
    </row>
    <row r="46" spans="1:11" x14ac:dyDescent="0.75">
      <c r="A46" s="1">
        <v>45833</v>
      </c>
      <c r="B46" s="1" t="s">
        <v>80</v>
      </c>
      <c r="C46" t="s">
        <v>61</v>
      </c>
      <c r="D46">
        <v>16.7</v>
      </c>
      <c r="E46">
        <v>4</v>
      </c>
      <c r="F46">
        <v>30.6</v>
      </c>
      <c r="G46" t="s">
        <v>78</v>
      </c>
      <c r="H46" s="5">
        <v>0.42488425925925899</v>
      </c>
      <c r="I46" s="5">
        <v>0.9467592592592593</v>
      </c>
      <c r="J46" s="5" t="s">
        <v>74</v>
      </c>
      <c r="K46" t="s">
        <v>76</v>
      </c>
    </row>
    <row r="47" spans="1:11" x14ac:dyDescent="0.75">
      <c r="A47" s="1">
        <v>45833</v>
      </c>
      <c r="B47" s="1" t="s">
        <v>80</v>
      </c>
      <c r="C47" t="s">
        <v>61</v>
      </c>
      <c r="D47">
        <v>16.7</v>
      </c>
      <c r="E47">
        <v>3</v>
      </c>
      <c r="F47">
        <v>31.5</v>
      </c>
      <c r="G47" t="s">
        <v>68</v>
      </c>
      <c r="H47" s="5">
        <v>0.43240740740740741</v>
      </c>
      <c r="I47" s="5">
        <v>0.44171296296296297</v>
      </c>
      <c r="J47" s="5" t="s">
        <v>79</v>
      </c>
      <c r="K47" t="s">
        <v>8</v>
      </c>
    </row>
    <row r="48" spans="1:11" x14ac:dyDescent="0.75">
      <c r="A48" s="1">
        <v>45833</v>
      </c>
      <c r="B48" s="1" t="s">
        <v>80</v>
      </c>
      <c r="C48" t="s">
        <v>61</v>
      </c>
      <c r="D48">
        <v>16.7</v>
      </c>
      <c r="E48">
        <v>3</v>
      </c>
      <c r="F48">
        <v>31.5</v>
      </c>
      <c r="G48" t="s">
        <v>68</v>
      </c>
      <c r="H48" s="5">
        <v>0.43240740740740741</v>
      </c>
      <c r="I48" s="5">
        <v>0.45192129629629629</v>
      </c>
      <c r="J48" s="5" t="s">
        <v>79</v>
      </c>
      <c r="K48" t="s">
        <v>8</v>
      </c>
    </row>
    <row r="49" spans="1:11" x14ac:dyDescent="0.75">
      <c r="A49" s="1">
        <v>45833</v>
      </c>
      <c r="B49" s="1" t="s">
        <v>80</v>
      </c>
      <c r="C49" t="s">
        <v>61</v>
      </c>
      <c r="D49">
        <v>16.7</v>
      </c>
      <c r="E49">
        <v>3</v>
      </c>
      <c r="F49">
        <v>31.5</v>
      </c>
      <c r="G49" t="s">
        <v>68</v>
      </c>
      <c r="H49" s="5">
        <v>0.43240740740740702</v>
      </c>
      <c r="I49" s="5">
        <v>0.45251157407407405</v>
      </c>
      <c r="J49" s="5" t="s">
        <v>79</v>
      </c>
      <c r="K49" t="s">
        <v>8</v>
      </c>
    </row>
    <row r="50" spans="1:11" x14ac:dyDescent="0.75">
      <c r="A50" s="1">
        <v>45833</v>
      </c>
      <c r="B50" s="1" t="s">
        <v>80</v>
      </c>
      <c r="C50" t="s">
        <v>61</v>
      </c>
      <c r="D50">
        <v>16.7</v>
      </c>
      <c r="E50">
        <v>3</v>
      </c>
      <c r="F50">
        <v>31.5</v>
      </c>
      <c r="G50" t="s">
        <v>68</v>
      </c>
      <c r="H50" s="5">
        <v>0.43240740740740702</v>
      </c>
      <c r="I50" s="5">
        <v>0.46690972222222221</v>
      </c>
      <c r="J50" s="5" t="s">
        <v>79</v>
      </c>
      <c r="K50" t="s">
        <v>8</v>
      </c>
    </row>
    <row r="51" spans="1:11" x14ac:dyDescent="0.75">
      <c r="A51" s="1">
        <v>45833</v>
      </c>
      <c r="B51" s="1" t="s">
        <v>80</v>
      </c>
      <c r="C51" t="s">
        <v>61</v>
      </c>
      <c r="D51">
        <v>16.7</v>
      </c>
      <c r="E51">
        <v>3</v>
      </c>
      <c r="F51">
        <v>31.5</v>
      </c>
      <c r="G51" t="s">
        <v>68</v>
      </c>
      <c r="H51" s="5">
        <v>0.43240740740740702</v>
      </c>
      <c r="I51" s="5">
        <v>0.47672453703703704</v>
      </c>
      <c r="J51" s="5" t="s">
        <v>79</v>
      </c>
      <c r="K51" t="s">
        <v>8</v>
      </c>
    </row>
    <row r="52" spans="1:11" x14ac:dyDescent="0.75">
      <c r="A52" s="1">
        <v>45833</v>
      </c>
      <c r="B52" s="1" t="s">
        <v>80</v>
      </c>
      <c r="C52" t="s">
        <v>61</v>
      </c>
      <c r="D52">
        <v>16.7</v>
      </c>
      <c r="E52">
        <v>3</v>
      </c>
      <c r="F52">
        <v>31.5</v>
      </c>
      <c r="G52" t="s">
        <v>77</v>
      </c>
      <c r="H52" s="5">
        <v>0.43240740740740702</v>
      </c>
      <c r="I52" s="5">
        <v>0.43798611111111113</v>
      </c>
      <c r="J52" s="5" t="s">
        <v>79</v>
      </c>
      <c r="K52" t="s">
        <v>8</v>
      </c>
    </row>
    <row r="53" spans="1:11" x14ac:dyDescent="0.75">
      <c r="A53" s="1">
        <v>45833</v>
      </c>
      <c r="B53" s="1" t="s">
        <v>80</v>
      </c>
      <c r="C53" t="s">
        <v>61</v>
      </c>
      <c r="D53">
        <v>16.7</v>
      </c>
      <c r="E53">
        <v>3</v>
      </c>
      <c r="F53">
        <v>31.5</v>
      </c>
      <c r="G53" t="s">
        <v>77</v>
      </c>
      <c r="H53" s="5">
        <v>0.43240740740740702</v>
      </c>
      <c r="I53" s="5">
        <v>0.43881944444444443</v>
      </c>
      <c r="J53" s="5" t="s">
        <v>79</v>
      </c>
      <c r="K53" t="s">
        <v>8</v>
      </c>
    </row>
    <row r="54" spans="1:11" x14ac:dyDescent="0.75">
      <c r="A54" s="1">
        <v>45833</v>
      </c>
      <c r="B54" s="1" t="s">
        <v>80</v>
      </c>
      <c r="C54" t="s">
        <v>61</v>
      </c>
      <c r="D54">
        <v>16.7</v>
      </c>
      <c r="E54">
        <v>3</v>
      </c>
      <c r="F54">
        <v>31.5</v>
      </c>
      <c r="G54" t="s">
        <v>77</v>
      </c>
      <c r="H54" s="5">
        <v>0.43240740740740702</v>
      </c>
      <c r="I54" s="5">
        <v>0.44233796296296296</v>
      </c>
      <c r="J54" s="5" t="s">
        <v>79</v>
      </c>
      <c r="K54" t="s">
        <v>8</v>
      </c>
    </row>
    <row r="55" spans="1:11" x14ac:dyDescent="0.75">
      <c r="A55" s="1">
        <v>45833</v>
      </c>
      <c r="B55" s="1" t="s">
        <v>80</v>
      </c>
      <c r="C55" t="s">
        <v>61</v>
      </c>
      <c r="D55">
        <v>16.7</v>
      </c>
      <c r="E55">
        <v>3</v>
      </c>
      <c r="F55">
        <v>31.5</v>
      </c>
      <c r="G55" t="s">
        <v>77</v>
      </c>
      <c r="H55" s="5">
        <v>0.43240740740740702</v>
      </c>
      <c r="I55" s="5">
        <v>0.44290509259259259</v>
      </c>
      <c r="J55" s="5" t="s">
        <v>79</v>
      </c>
      <c r="K55" t="s">
        <v>8</v>
      </c>
    </row>
    <row r="56" spans="1:11" x14ac:dyDescent="0.75">
      <c r="A56" s="1">
        <v>45833</v>
      </c>
      <c r="B56" s="1" t="s">
        <v>80</v>
      </c>
      <c r="C56" t="s">
        <v>61</v>
      </c>
      <c r="D56">
        <v>16.7</v>
      </c>
      <c r="E56">
        <v>3</v>
      </c>
      <c r="F56">
        <v>31.5</v>
      </c>
      <c r="G56" t="s">
        <v>77</v>
      </c>
      <c r="H56" s="5">
        <v>0.43240740740740702</v>
      </c>
      <c r="I56" s="5">
        <v>0.46506944444444442</v>
      </c>
      <c r="J56" s="5" t="s">
        <v>79</v>
      </c>
      <c r="K56" t="s">
        <v>8</v>
      </c>
    </row>
    <row r="57" spans="1:11" x14ac:dyDescent="0.75">
      <c r="A57" s="1">
        <v>45833</v>
      </c>
      <c r="B57" s="1" t="s">
        <v>80</v>
      </c>
      <c r="C57" t="s">
        <v>61</v>
      </c>
      <c r="D57">
        <v>16.7</v>
      </c>
      <c r="E57">
        <v>3</v>
      </c>
      <c r="F57">
        <v>31.5</v>
      </c>
      <c r="G57" t="s">
        <v>78</v>
      </c>
      <c r="H57" s="5">
        <v>0.43240740740740702</v>
      </c>
      <c r="I57" s="5">
        <v>0.44119212962962961</v>
      </c>
      <c r="J57" s="5" t="s">
        <v>79</v>
      </c>
      <c r="K57" t="s">
        <v>8</v>
      </c>
    </row>
    <row r="58" spans="1:11" x14ac:dyDescent="0.75">
      <c r="A58" s="1">
        <v>45833</v>
      </c>
      <c r="B58" s="1" t="s">
        <v>80</v>
      </c>
      <c r="C58" t="s">
        <v>61</v>
      </c>
      <c r="D58">
        <v>16.7</v>
      </c>
      <c r="E58">
        <v>3</v>
      </c>
      <c r="F58">
        <v>31.5</v>
      </c>
      <c r="G58" t="s">
        <v>78</v>
      </c>
      <c r="H58" s="5">
        <v>0.43240740740740702</v>
      </c>
      <c r="I58" s="5">
        <v>0.44119212962962961</v>
      </c>
      <c r="J58" s="5" t="s">
        <v>79</v>
      </c>
      <c r="K58" t="s">
        <v>8</v>
      </c>
    </row>
    <row r="59" spans="1:11" x14ac:dyDescent="0.75">
      <c r="A59" s="1">
        <v>45833</v>
      </c>
      <c r="B59" s="1" t="s">
        <v>80</v>
      </c>
      <c r="C59" t="s">
        <v>61</v>
      </c>
      <c r="D59">
        <v>16.7</v>
      </c>
      <c r="E59">
        <v>3</v>
      </c>
      <c r="F59">
        <v>31.5</v>
      </c>
      <c r="G59" t="s">
        <v>78</v>
      </c>
      <c r="H59" s="5">
        <v>0.43240740740740702</v>
      </c>
      <c r="I59" s="5">
        <v>0.46423611111111113</v>
      </c>
      <c r="J59" s="5" t="s">
        <v>79</v>
      </c>
      <c r="K59" t="s">
        <v>8</v>
      </c>
    </row>
    <row r="60" spans="1:11" x14ac:dyDescent="0.75">
      <c r="A60" s="1">
        <v>45833</v>
      </c>
      <c r="B60" s="1" t="s">
        <v>80</v>
      </c>
      <c r="C60" t="s">
        <v>61</v>
      </c>
      <c r="D60">
        <v>16.7</v>
      </c>
      <c r="E60">
        <v>3</v>
      </c>
      <c r="F60">
        <v>31.5</v>
      </c>
      <c r="G60" t="s">
        <v>78</v>
      </c>
      <c r="H60" s="5">
        <v>0.43240740740740702</v>
      </c>
      <c r="I60" s="5">
        <v>0.46976851851851853</v>
      </c>
      <c r="J60" s="5" t="s">
        <v>79</v>
      </c>
      <c r="K60" t="s">
        <v>8</v>
      </c>
    </row>
    <row r="61" spans="1:11" x14ac:dyDescent="0.75">
      <c r="A61" s="1">
        <v>45833</v>
      </c>
      <c r="B61" s="1" t="s">
        <v>80</v>
      </c>
      <c r="C61" t="s">
        <v>61</v>
      </c>
      <c r="D61">
        <v>16.7</v>
      </c>
      <c r="E61">
        <v>3</v>
      </c>
      <c r="F61">
        <v>31.5</v>
      </c>
      <c r="G61" t="s">
        <v>78</v>
      </c>
      <c r="H61" s="5">
        <v>0.43240740740740702</v>
      </c>
      <c r="I61" s="5">
        <v>0.47024305555555557</v>
      </c>
      <c r="J61" s="5" t="s">
        <v>79</v>
      </c>
      <c r="K61" t="s">
        <v>8</v>
      </c>
    </row>
    <row r="62" spans="1:11" x14ac:dyDescent="0.75">
      <c r="A62" s="1">
        <v>45833</v>
      </c>
      <c r="B62" s="1" t="s">
        <v>80</v>
      </c>
      <c r="C62" t="s">
        <v>61</v>
      </c>
      <c r="D62">
        <v>16.7</v>
      </c>
      <c r="E62">
        <v>2</v>
      </c>
      <c r="F62">
        <v>32</v>
      </c>
      <c r="G62" t="s">
        <v>68</v>
      </c>
      <c r="H62" s="5">
        <v>0.43281249999999999</v>
      </c>
      <c r="I62" s="5">
        <v>0.43431712962962965</v>
      </c>
      <c r="J62" s="5" t="s">
        <v>79</v>
      </c>
      <c r="K62" t="s">
        <v>8</v>
      </c>
    </row>
    <row r="63" spans="1:11" x14ac:dyDescent="0.75">
      <c r="A63" s="1">
        <v>45833</v>
      </c>
      <c r="B63" s="1" t="s">
        <v>80</v>
      </c>
      <c r="C63" t="s">
        <v>61</v>
      </c>
      <c r="D63">
        <v>16.7</v>
      </c>
      <c r="E63">
        <v>2</v>
      </c>
      <c r="F63">
        <v>32</v>
      </c>
      <c r="G63" t="s">
        <v>68</v>
      </c>
      <c r="H63" s="5">
        <v>0.43281249999999999</v>
      </c>
      <c r="I63" s="5">
        <v>0.44731481481481483</v>
      </c>
      <c r="J63" s="5" t="s">
        <v>79</v>
      </c>
      <c r="K63" t="s">
        <v>8</v>
      </c>
    </row>
    <row r="64" spans="1:11" x14ac:dyDescent="0.75">
      <c r="A64" s="1">
        <v>45833</v>
      </c>
      <c r="B64" s="1" t="s">
        <v>80</v>
      </c>
      <c r="C64" t="s">
        <v>61</v>
      </c>
      <c r="D64">
        <v>16.7</v>
      </c>
      <c r="E64">
        <v>2</v>
      </c>
      <c r="F64">
        <v>32</v>
      </c>
      <c r="G64" t="s">
        <v>68</v>
      </c>
      <c r="H64" s="5">
        <v>0.43281249999999999</v>
      </c>
      <c r="I64" s="5">
        <v>0.45561342592592591</v>
      </c>
      <c r="J64" s="5" t="s">
        <v>79</v>
      </c>
      <c r="K64" t="s">
        <v>8</v>
      </c>
    </row>
    <row r="65" spans="1:11" x14ac:dyDescent="0.75">
      <c r="A65" s="1">
        <v>45833</v>
      </c>
      <c r="B65" s="1" t="s">
        <v>80</v>
      </c>
      <c r="C65" t="s">
        <v>61</v>
      </c>
      <c r="D65">
        <v>16.7</v>
      </c>
      <c r="E65">
        <v>2</v>
      </c>
      <c r="F65">
        <v>32</v>
      </c>
      <c r="G65" t="s">
        <v>68</v>
      </c>
      <c r="H65" s="5">
        <v>0.43281249999999999</v>
      </c>
      <c r="I65" s="5">
        <v>0.47347222222222224</v>
      </c>
      <c r="J65" s="5" t="s">
        <v>79</v>
      </c>
      <c r="K65" t="s">
        <v>8</v>
      </c>
    </row>
    <row r="66" spans="1:11" x14ac:dyDescent="0.75">
      <c r="A66" s="1">
        <v>45833</v>
      </c>
      <c r="B66" s="1" t="s">
        <v>80</v>
      </c>
      <c r="C66" t="s">
        <v>61</v>
      </c>
      <c r="D66">
        <v>16.7</v>
      </c>
      <c r="E66">
        <v>2</v>
      </c>
      <c r="F66">
        <v>32</v>
      </c>
      <c r="G66" t="s">
        <v>68</v>
      </c>
      <c r="H66" s="5">
        <v>0.43281249999999999</v>
      </c>
      <c r="I66" s="5">
        <v>0.48090277777777779</v>
      </c>
      <c r="J66" s="5" t="s">
        <v>79</v>
      </c>
      <c r="K66" t="s">
        <v>8</v>
      </c>
    </row>
    <row r="67" spans="1:11" x14ac:dyDescent="0.75">
      <c r="A67" s="1">
        <v>45833</v>
      </c>
      <c r="B67" s="1" t="s">
        <v>80</v>
      </c>
      <c r="C67" t="s">
        <v>61</v>
      </c>
      <c r="D67">
        <v>16.7</v>
      </c>
      <c r="E67">
        <v>2</v>
      </c>
      <c r="F67">
        <v>32</v>
      </c>
      <c r="G67" t="s">
        <v>77</v>
      </c>
      <c r="H67" s="5">
        <v>0.43281249999999999</v>
      </c>
      <c r="I67" s="5">
        <v>0.43508101851851849</v>
      </c>
      <c r="J67" s="5" t="s">
        <v>79</v>
      </c>
      <c r="K67" t="s">
        <v>8</v>
      </c>
    </row>
    <row r="68" spans="1:11" x14ac:dyDescent="0.75">
      <c r="A68" s="1">
        <v>45833</v>
      </c>
      <c r="B68" s="1" t="s">
        <v>80</v>
      </c>
      <c r="C68" t="s">
        <v>61</v>
      </c>
      <c r="D68">
        <v>16.7</v>
      </c>
      <c r="E68">
        <v>2</v>
      </c>
      <c r="F68">
        <v>32</v>
      </c>
      <c r="G68" t="s">
        <v>77</v>
      </c>
      <c r="H68" s="5">
        <v>0.43281249999999999</v>
      </c>
      <c r="I68" s="5">
        <v>0.4508564814814815</v>
      </c>
      <c r="J68" s="5" t="s">
        <v>79</v>
      </c>
      <c r="K68" t="s">
        <v>8</v>
      </c>
    </row>
    <row r="69" spans="1:11" x14ac:dyDescent="0.75">
      <c r="A69" s="1">
        <v>45833</v>
      </c>
      <c r="B69" s="1" t="s">
        <v>80</v>
      </c>
      <c r="C69" t="s">
        <v>61</v>
      </c>
      <c r="D69">
        <v>16.7</v>
      </c>
      <c r="E69">
        <v>2</v>
      </c>
      <c r="F69">
        <v>32</v>
      </c>
      <c r="G69" t="s">
        <v>77</v>
      </c>
      <c r="H69" s="5">
        <v>0.43281249999999999</v>
      </c>
      <c r="I69" s="5">
        <v>0.45224537037037038</v>
      </c>
      <c r="J69" s="5" t="s">
        <v>79</v>
      </c>
      <c r="K69" t="s">
        <v>8</v>
      </c>
    </row>
    <row r="70" spans="1:11" x14ac:dyDescent="0.75">
      <c r="A70" s="1">
        <v>45833</v>
      </c>
      <c r="B70" s="1" t="s">
        <v>80</v>
      </c>
      <c r="C70" t="s">
        <v>61</v>
      </c>
      <c r="D70">
        <v>16.7</v>
      </c>
      <c r="E70">
        <v>2</v>
      </c>
      <c r="F70">
        <v>32</v>
      </c>
      <c r="G70" t="s">
        <v>77</v>
      </c>
      <c r="H70" s="5">
        <v>0.43281249999999999</v>
      </c>
      <c r="I70" s="5">
        <v>0.45431712962962961</v>
      </c>
      <c r="J70" s="5" t="s">
        <v>79</v>
      </c>
      <c r="K70" t="s">
        <v>8</v>
      </c>
    </row>
    <row r="71" spans="1:11" x14ac:dyDescent="0.75">
      <c r="A71" s="1">
        <v>45833</v>
      </c>
      <c r="B71" s="1" t="s">
        <v>80</v>
      </c>
      <c r="C71" t="s">
        <v>61</v>
      </c>
      <c r="D71">
        <v>16.7</v>
      </c>
      <c r="E71">
        <v>2</v>
      </c>
      <c r="F71">
        <v>32</v>
      </c>
      <c r="G71" t="s">
        <v>77</v>
      </c>
      <c r="H71" s="5">
        <v>0.43281249999999999</v>
      </c>
      <c r="I71" s="5">
        <v>0.45817129629629627</v>
      </c>
      <c r="J71" s="5" t="s">
        <v>79</v>
      </c>
      <c r="K71" t="s">
        <v>8</v>
      </c>
    </row>
    <row r="72" spans="1:11" x14ac:dyDescent="0.75">
      <c r="A72" s="1">
        <v>45833</v>
      </c>
      <c r="B72" s="1" t="s">
        <v>80</v>
      </c>
      <c r="C72" t="s">
        <v>61</v>
      </c>
      <c r="D72">
        <v>16.7</v>
      </c>
      <c r="E72">
        <v>2</v>
      </c>
      <c r="F72">
        <v>32</v>
      </c>
      <c r="G72" t="s">
        <v>78</v>
      </c>
      <c r="H72" s="5">
        <v>0.43281249999999999</v>
      </c>
      <c r="I72" s="5">
        <v>0.44038194444444445</v>
      </c>
      <c r="J72" s="5" t="s">
        <v>79</v>
      </c>
      <c r="K72" t="s">
        <v>8</v>
      </c>
    </row>
    <row r="73" spans="1:11" x14ac:dyDescent="0.75">
      <c r="A73" s="1">
        <v>45833</v>
      </c>
      <c r="B73" s="1" t="s">
        <v>80</v>
      </c>
      <c r="C73" t="s">
        <v>61</v>
      </c>
      <c r="D73">
        <v>16.7</v>
      </c>
      <c r="E73">
        <v>2</v>
      </c>
      <c r="F73">
        <v>32</v>
      </c>
      <c r="G73" t="s">
        <v>78</v>
      </c>
      <c r="H73" s="5">
        <v>0.43281249999999999</v>
      </c>
      <c r="I73" s="5">
        <v>0.44223379629629628</v>
      </c>
      <c r="J73" s="5" t="s">
        <v>79</v>
      </c>
      <c r="K73" t="s">
        <v>8</v>
      </c>
    </row>
    <row r="74" spans="1:11" x14ac:dyDescent="0.75">
      <c r="A74" s="1">
        <v>45833</v>
      </c>
      <c r="B74" s="1" t="s">
        <v>80</v>
      </c>
      <c r="C74" t="s">
        <v>61</v>
      </c>
      <c r="D74">
        <v>16.7</v>
      </c>
      <c r="E74">
        <v>2</v>
      </c>
      <c r="F74">
        <v>32</v>
      </c>
      <c r="G74" t="s">
        <v>78</v>
      </c>
      <c r="H74" s="5">
        <v>0.43281249999999999</v>
      </c>
      <c r="I74" s="5">
        <v>0.44384259259259257</v>
      </c>
      <c r="J74" s="5" t="s">
        <v>79</v>
      </c>
      <c r="K74" t="s">
        <v>8</v>
      </c>
    </row>
    <row r="75" spans="1:11" x14ac:dyDescent="0.75">
      <c r="A75" s="1">
        <v>45833</v>
      </c>
      <c r="B75" s="1" t="s">
        <v>80</v>
      </c>
      <c r="C75" t="s">
        <v>61</v>
      </c>
      <c r="D75">
        <v>16.7</v>
      </c>
      <c r="E75">
        <v>2</v>
      </c>
      <c r="F75">
        <v>32</v>
      </c>
      <c r="G75" t="s">
        <v>78</v>
      </c>
      <c r="H75" s="5">
        <v>0.43281249999999999</v>
      </c>
      <c r="I75" s="5">
        <v>0.46251157407407406</v>
      </c>
      <c r="J75" s="5" t="s">
        <v>79</v>
      </c>
      <c r="K75" t="s">
        <v>8</v>
      </c>
    </row>
    <row r="76" spans="1:11" x14ac:dyDescent="0.75">
      <c r="A76" s="1">
        <v>45833</v>
      </c>
      <c r="B76" s="1" t="s">
        <v>80</v>
      </c>
      <c r="C76" t="s">
        <v>61</v>
      </c>
      <c r="D76">
        <v>16.7</v>
      </c>
      <c r="E76">
        <v>2</v>
      </c>
      <c r="F76">
        <v>32</v>
      </c>
      <c r="G76" t="s">
        <v>78</v>
      </c>
      <c r="H76" s="5">
        <v>0.43281249999999999</v>
      </c>
      <c r="I76" s="5">
        <v>0.4937037037037037</v>
      </c>
      <c r="J76" s="5" t="s">
        <v>79</v>
      </c>
      <c r="K76" t="s">
        <v>8</v>
      </c>
    </row>
    <row r="77" spans="1:11" x14ac:dyDescent="0.75">
      <c r="A77" s="1">
        <v>45833</v>
      </c>
      <c r="B77" s="1" t="s">
        <v>80</v>
      </c>
      <c r="C77" t="s">
        <v>61</v>
      </c>
      <c r="D77">
        <v>16.7</v>
      </c>
      <c r="E77">
        <v>1</v>
      </c>
      <c r="F77">
        <v>32.5</v>
      </c>
      <c r="G77" t="s">
        <v>68</v>
      </c>
      <c r="H77" s="5">
        <v>0.4332523148148148</v>
      </c>
      <c r="I77" s="5">
        <v>0.44189814814814815</v>
      </c>
      <c r="J77" s="5" t="s">
        <v>79</v>
      </c>
      <c r="K77" t="s">
        <v>8</v>
      </c>
    </row>
    <row r="78" spans="1:11" x14ac:dyDescent="0.75">
      <c r="A78" s="1">
        <v>45833</v>
      </c>
      <c r="B78" s="1" t="s">
        <v>80</v>
      </c>
      <c r="C78" t="s">
        <v>61</v>
      </c>
      <c r="D78">
        <v>16.7</v>
      </c>
      <c r="E78">
        <v>1</v>
      </c>
      <c r="F78">
        <v>32.5</v>
      </c>
      <c r="G78" t="s">
        <v>68</v>
      </c>
      <c r="H78" s="5">
        <v>0.4332523148148148</v>
      </c>
      <c r="I78" s="5">
        <v>0.4428125</v>
      </c>
      <c r="J78" s="5" t="s">
        <v>79</v>
      </c>
      <c r="K78" t="s">
        <v>8</v>
      </c>
    </row>
    <row r="79" spans="1:11" x14ac:dyDescent="0.75">
      <c r="A79" s="1">
        <v>45833</v>
      </c>
      <c r="B79" s="1" t="s">
        <v>80</v>
      </c>
      <c r="C79" t="s">
        <v>61</v>
      </c>
      <c r="D79">
        <v>16.7</v>
      </c>
      <c r="E79">
        <v>1</v>
      </c>
      <c r="F79">
        <v>32.5</v>
      </c>
      <c r="G79" t="s">
        <v>68</v>
      </c>
      <c r="H79" s="5">
        <v>0.43325231481481502</v>
      </c>
      <c r="I79" s="5">
        <v>0.44846064814814812</v>
      </c>
      <c r="J79" s="5" t="s">
        <v>79</v>
      </c>
      <c r="K79" t="s">
        <v>8</v>
      </c>
    </row>
    <row r="80" spans="1:11" x14ac:dyDescent="0.75">
      <c r="A80" s="1">
        <v>45833</v>
      </c>
      <c r="B80" s="1" t="s">
        <v>80</v>
      </c>
      <c r="C80" t="s">
        <v>61</v>
      </c>
      <c r="D80">
        <v>16.7</v>
      </c>
      <c r="E80">
        <v>1</v>
      </c>
      <c r="F80">
        <v>32.5</v>
      </c>
      <c r="G80" t="s">
        <v>68</v>
      </c>
      <c r="H80" s="5">
        <v>0.43325231481481502</v>
      </c>
      <c r="I80" s="5">
        <v>0.45134259259259257</v>
      </c>
      <c r="J80" s="5" t="s">
        <v>79</v>
      </c>
      <c r="K80" t="s">
        <v>8</v>
      </c>
    </row>
    <row r="81" spans="1:11" x14ac:dyDescent="0.75">
      <c r="A81" s="1">
        <v>45833</v>
      </c>
      <c r="B81" s="1" t="s">
        <v>80</v>
      </c>
      <c r="C81" t="s">
        <v>61</v>
      </c>
      <c r="D81">
        <v>16.7</v>
      </c>
      <c r="E81">
        <v>1</v>
      </c>
      <c r="F81">
        <v>32.5</v>
      </c>
      <c r="G81" t="s">
        <v>68</v>
      </c>
      <c r="H81" s="5">
        <v>0.43325231481481502</v>
      </c>
      <c r="I81" s="5">
        <v>0.45277777777777778</v>
      </c>
      <c r="J81" s="5" t="s">
        <v>79</v>
      </c>
      <c r="K81" t="s">
        <v>8</v>
      </c>
    </row>
    <row r="82" spans="1:11" x14ac:dyDescent="0.75">
      <c r="A82" s="1">
        <v>45833</v>
      </c>
      <c r="B82" s="1" t="s">
        <v>80</v>
      </c>
      <c r="C82" t="s">
        <v>61</v>
      </c>
      <c r="D82">
        <v>16.7</v>
      </c>
      <c r="E82">
        <v>1</v>
      </c>
      <c r="F82">
        <v>32.5</v>
      </c>
      <c r="G82" t="s">
        <v>77</v>
      </c>
      <c r="H82" s="5">
        <v>0.43325231481481502</v>
      </c>
      <c r="I82" s="5">
        <v>0.43813657407407408</v>
      </c>
      <c r="J82" s="5" t="s">
        <v>79</v>
      </c>
      <c r="K82" t="s">
        <v>8</v>
      </c>
    </row>
    <row r="83" spans="1:11" x14ac:dyDescent="0.75">
      <c r="A83" s="1">
        <v>45833</v>
      </c>
      <c r="B83" s="1" t="s">
        <v>80</v>
      </c>
      <c r="C83" t="s">
        <v>61</v>
      </c>
      <c r="D83">
        <v>16.7</v>
      </c>
      <c r="E83">
        <v>1</v>
      </c>
      <c r="F83">
        <v>32.5</v>
      </c>
      <c r="G83" t="s">
        <v>77</v>
      </c>
      <c r="H83" s="5">
        <v>0.43325231481481502</v>
      </c>
      <c r="I83" s="5">
        <v>0.44391203703703702</v>
      </c>
      <c r="J83" s="5" t="s">
        <v>79</v>
      </c>
      <c r="K83" t="s">
        <v>8</v>
      </c>
    </row>
    <row r="84" spans="1:11" x14ac:dyDescent="0.75">
      <c r="A84" s="1">
        <v>45833</v>
      </c>
      <c r="B84" s="1" t="s">
        <v>80</v>
      </c>
      <c r="C84" t="s">
        <v>61</v>
      </c>
      <c r="D84">
        <v>16.7</v>
      </c>
      <c r="E84">
        <v>1</v>
      </c>
      <c r="F84">
        <v>32.5</v>
      </c>
      <c r="G84" t="s">
        <v>77</v>
      </c>
      <c r="H84" s="5">
        <v>0.43325231481481502</v>
      </c>
      <c r="I84" s="5">
        <v>0.44996527777777778</v>
      </c>
      <c r="J84" s="5" t="s">
        <v>79</v>
      </c>
      <c r="K84" t="s">
        <v>8</v>
      </c>
    </row>
    <row r="85" spans="1:11" x14ac:dyDescent="0.75">
      <c r="A85" s="1">
        <v>45833</v>
      </c>
      <c r="B85" s="1" t="s">
        <v>80</v>
      </c>
      <c r="C85" t="s">
        <v>61</v>
      </c>
      <c r="D85">
        <v>16.7</v>
      </c>
      <c r="E85">
        <v>1</v>
      </c>
      <c r="F85">
        <v>32.5</v>
      </c>
      <c r="G85" t="s">
        <v>77</v>
      </c>
      <c r="H85" s="5">
        <v>0.43325231481481502</v>
      </c>
      <c r="I85" s="5">
        <v>0.45409722222222221</v>
      </c>
      <c r="J85" s="5" t="s">
        <v>79</v>
      </c>
      <c r="K85" t="s">
        <v>8</v>
      </c>
    </row>
    <row r="86" spans="1:11" x14ac:dyDescent="0.75">
      <c r="A86" s="1">
        <v>45833</v>
      </c>
      <c r="B86" s="1" t="s">
        <v>80</v>
      </c>
      <c r="C86" t="s">
        <v>61</v>
      </c>
      <c r="D86">
        <v>16.7</v>
      </c>
      <c r="E86">
        <v>1</v>
      </c>
      <c r="F86">
        <v>32.5</v>
      </c>
      <c r="G86" t="s">
        <v>77</v>
      </c>
      <c r="H86" s="5">
        <v>0.43325231481481502</v>
      </c>
      <c r="I86" s="5">
        <v>0.45893518518518517</v>
      </c>
      <c r="J86" s="5" t="s">
        <v>79</v>
      </c>
      <c r="K86" t="s">
        <v>8</v>
      </c>
    </row>
    <row r="87" spans="1:11" x14ac:dyDescent="0.75">
      <c r="A87" s="1">
        <v>45833</v>
      </c>
      <c r="B87" s="1" t="s">
        <v>80</v>
      </c>
      <c r="C87" t="s">
        <v>61</v>
      </c>
      <c r="D87">
        <v>16.7</v>
      </c>
      <c r="E87">
        <v>1</v>
      </c>
      <c r="F87">
        <v>32.5</v>
      </c>
      <c r="G87" t="s">
        <v>78</v>
      </c>
      <c r="H87" s="5">
        <v>0.43325231481481502</v>
      </c>
      <c r="I87" s="5">
        <v>0.43739583333333332</v>
      </c>
      <c r="J87" s="5" t="s">
        <v>79</v>
      </c>
      <c r="K87" t="s">
        <v>8</v>
      </c>
    </row>
    <row r="88" spans="1:11" x14ac:dyDescent="0.75">
      <c r="A88" s="1">
        <v>45833</v>
      </c>
      <c r="B88" s="1" t="s">
        <v>80</v>
      </c>
      <c r="C88" t="s">
        <v>61</v>
      </c>
      <c r="D88">
        <v>16.7</v>
      </c>
      <c r="E88">
        <v>1</v>
      </c>
      <c r="F88">
        <v>32.5</v>
      </c>
      <c r="G88" t="s">
        <v>78</v>
      </c>
      <c r="H88" s="5">
        <v>0.43325231481481502</v>
      </c>
      <c r="I88" s="5">
        <v>0.43938657407407405</v>
      </c>
      <c r="J88" s="5" t="s">
        <v>79</v>
      </c>
      <c r="K88" t="s">
        <v>8</v>
      </c>
    </row>
    <row r="89" spans="1:11" x14ac:dyDescent="0.75">
      <c r="A89" s="1">
        <v>45833</v>
      </c>
      <c r="B89" s="1" t="s">
        <v>80</v>
      </c>
      <c r="C89" t="s">
        <v>61</v>
      </c>
      <c r="D89">
        <v>16.7</v>
      </c>
      <c r="E89">
        <v>1</v>
      </c>
      <c r="F89">
        <v>32.5</v>
      </c>
      <c r="G89" t="s">
        <v>78</v>
      </c>
      <c r="H89" s="5">
        <v>0.43325231481481502</v>
      </c>
      <c r="I89" s="5">
        <v>0.4397685185185185</v>
      </c>
      <c r="J89" s="5" t="s">
        <v>79</v>
      </c>
      <c r="K89" t="s">
        <v>8</v>
      </c>
    </row>
    <row r="90" spans="1:11" x14ac:dyDescent="0.75">
      <c r="A90" s="1">
        <v>45833</v>
      </c>
      <c r="B90" s="1" t="s">
        <v>80</v>
      </c>
      <c r="C90" t="s">
        <v>61</v>
      </c>
      <c r="D90">
        <v>16.7</v>
      </c>
      <c r="E90">
        <v>1</v>
      </c>
      <c r="F90">
        <v>32.5</v>
      </c>
      <c r="G90" t="s">
        <v>78</v>
      </c>
      <c r="H90" s="5">
        <v>0.43325231481481502</v>
      </c>
      <c r="I90" s="5">
        <v>0.4397685185185185</v>
      </c>
      <c r="J90" s="5" t="s">
        <v>79</v>
      </c>
      <c r="K90" t="s">
        <v>8</v>
      </c>
    </row>
    <row r="91" spans="1:11" x14ac:dyDescent="0.75">
      <c r="A91" s="1">
        <v>45833</v>
      </c>
      <c r="B91" s="1" t="s">
        <v>80</v>
      </c>
      <c r="C91" t="s">
        <v>61</v>
      </c>
      <c r="D91">
        <v>16.7</v>
      </c>
      <c r="E91">
        <v>1</v>
      </c>
      <c r="F91">
        <v>32.5</v>
      </c>
      <c r="G91" t="s">
        <v>78</v>
      </c>
      <c r="H91" s="5">
        <v>0.43325231481481502</v>
      </c>
      <c r="I91" s="5">
        <v>0.45266203703703706</v>
      </c>
      <c r="J91" s="5" t="s">
        <v>79</v>
      </c>
      <c r="K91" t="s">
        <v>8</v>
      </c>
    </row>
    <row r="92" spans="1:11" x14ac:dyDescent="0.75">
      <c r="A92" s="1">
        <v>45834</v>
      </c>
      <c r="B92" s="1" t="s">
        <v>81</v>
      </c>
      <c r="C92" t="s">
        <v>82</v>
      </c>
      <c r="D92">
        <v>16.5</v>
      </c>
      <c r="E92">
        <v>5</v>
      </c>
      <c r="F92">
        <v>31</v>
      </c>
      <c r="G92" t="s">
        <v>63</v>
      </c>
      <c r="H92" s="5">
        <v>0.43273148148148149</v>
      </c>
      <c r="I92" s="5">
        <v>0.43881944444444443</v>
      </c>
      <c r="J92" s="5" t="s">
        <v>79</v>
      </c>
      <c r="K92" t="s">
        <v>8</v>
      </c>
    </row>
    <row r="93" spans="1:11" x14ac:dyDescent="0.75">
      <c r="A93" s="1">
        <v>45834</v>
      </c>
      <c r="B93" s="1" t="s">
        <v>81</v>
      </c>
      <c r="C93" t="s">
        <v>82</v>
      </c>
      <c r="D93">
        <v>16.5</v>
      </c>
      <c r="E93">
        <v>5</v>
      </c>
      <c r="F93">
        <v>31</v>
      </c>
      <c r="G93" t="s">
        <v>63</v>
      </c>
      <c r="H93" s="5">
        <v>0.43273148148148149</v>
      </c>
      <c r="I93" s="5">
        <v>0.4445601851851852</v>
      </c>
      <c r="J93" s="5" t="s">
        <v>79</v>
      </c>
      <c r="K93" t="s">
        <v>8</v>
      </c>
    </row>
    <row r="94" spans="1:11" x14ac:dyDescent="0.75">
      <c r="A94" s="1">
        <v>45834</v>
      </c>
      <c r="B94" s="1" t="s">
        <v>81</v>
      </c>
      <c r="C94" t="s">
        <v>82</v>
      </c>
      <c r="D94">
        <v>16.5</v>
      </c>
      <c r="E94">
        <v>5</v>
      </c>
      <c r="F94">
        <v>31</v>
      </c>
      <c r="G94" t="s">
        <v>63</v>
      </c>
      <c r="H94" s="5">
        <v>0.43273148148148149</v>
      </c>
      <c r="I94" s="5">
        <v>0.53067129629629628</v>
      </c>
      <c r="J94" s="5" t="s">
        <v>79</v>
      </c>
      <c r="K94" t="s">
        <v>8</v>
      </c>
    </row>
    <row r="95" spans="1:11" x14ac:dyDescent="0.75">
      <c r="A95" s="1">
        <v>45834</v>
      </c>
      <c r="B95" s="1" t="s">
        <v>81</v>
      </c>
      <c r="C95" t="s">
        <v>82</v>
      </c>
      <c r="D95">
        <v>16.5</v>
      </c>
      <c r="E95">
        <v>5</v>
      </c>
      <c r="F95">
        <v>31</v>
      </c>
      <c r="G95" t="s">
        <v>63</v>
      </c>
      <c r="H95" s="5">
        <v>0.432731481481481</v>
      </c>
      <c r="I95" s="5">
        <v>0.58776620370370369</v>
      </c>
      <c r="J95" s="5" t="s">
        <v>79</v>
      </c>
      <c r="K95" t="s">
        <v>8</v>
      </c>
    </row>
    <row r="96" spans="1:11" x14ac:dyDescent="0.75">
      <c r="A96" s="1">
        <v>45834</v>
      </c>
      <c r="B96" s="1" t="s">
        <v>81</v>
      </c>
      <c r="C96" t="s">
        <v>82</v>
      </c>
      <c r="D96">
        <v>16.5</v>
      </c>
      <c r="E96">
        <v>5</v>
      </c>
      <c r="F96">
        <v>31</v>
      </c>
      <c r="G96" t="s">
        <v>63</v>
      </c>
      <c r="H96" s="5">
        <v>0.432731481481481</v>
      </c>
      <c r="I96" s="5">
        <v>0.66070601851851851</v>
      </c>
      <c r="J96" s="5" t="s">
        <v>79</v>
      </c>
      <c r="K96" t="s">
        <v>8</v>
      </c>
    </row>
    <row r="97" spans="1:11" x14ac:dyDescent="0.75">
      <c r="A97" s="1">
        <v>45834</v>
      </c>
      <c r="B97" s="1" t="s">
        <v>81</v>
      </c>
      <c r="C97" t="s">
        <v>82</v>
      </c>
      <c r="D97">
        <v>16.5</v>
      </c>
      <c r="E97">
        <v>5</v>
      </c>
      <c r="F97">
        <v>31</v>
      </c>
      <c r="G97" t="s">
        <v>64</v>
      </c>
      <c r="H97" s="5">
        <v>0.432731481481481</v>
      </c>
      <c r="I97" s="5">
        <v>0.48587962962962961</v>
      </c>
      <c r="J97" s="5" t="s">
        <v>79</v>
      </c>
      <c r="K97" t="s">
        <v>8</v>
      </c>
    </row>
    <row r="98" spans="1:11" x14ac:dyDescent="0.75">
      <c r="A98" s="1">
        <v>45834</v>
      </c>
      <c r="B98" s="1" t="s">
        <v>81</v>
      </c>
      <c r="C98" t="s">
        <v>82</v>
      </c>
      <c r="D98">
        <v>16.5</v>
      </c>
      <c r="E98">
        <v>5</v>
      </c>
      <c r="F98">
        <v>31</v>
      </c>
      <c r="G98" t="s">
        <v>64</v>
      </c>
      <c r="H98" s="5">
        <v>0.432731481481481</v>
      </c>
      <c r="I98" s="5">
        <v>0.55381944444444442</v>
      </c>
      <c r="J98" s="5" t="s">
        <v>79</v>
      </c>
      <c r="K98" t="s">
        <v>8</v>
      </c>
    </row>
    <row r="99" spans="1:11" x14ac:dyDescent="0.75">
      <c r="A99" s="1">
        <v>45834</v>
      </c>
      <c r="B99" s="1" t="s">
        <v>81</v>
      </c>
      <c r="C99" t="s">
        <v>82</v>
      </c>
      <c r="D99">
        <v>16.5</v>
      </c>
      <c r="E99">
        <v>5</v>
      </c>
      <c r="F99">
        <v>31</v>
      </c>
      <c r="G99" t="s">
        <v>64</v>
      </c>
      <c r="H99" s="5">
        <v>0.432731481481481</v>
      </c>
      <c r="I99" s="5">
        <v>0.56944444444444442</v>
      </c>
      <c r="J99" s="5" t="s">
        <v>79</v>
      </c>
      <c r="K99" t="s">
        <v>8</v>
      </c>
    </row>
    <row r="100" spans="1:11" x14ac:dyDescent="0.75">
      <c r="A100" s="1">
        <v>45834</v>
      </c>
      <c r="B100" s="1" t="s">
        <v>81</v>
      </c>
      <c r="C100" t="s">
        <v>82</v>
      </c>
      <c r="D100">
        <v>16.5</v>
      </c>
      <c r="E100">
        <v>5</v>
      </c>
      <c r="F100">
        <v>31</v>
      </c>
      <c r="G100" t="s">
        <v>64</v>
      </c>
      <c r="H100" s="5">
        <v>0.432731481481481</v>
      </c>
      <c r="I100" s="5">
        <v>0.64375000000000004</v>
      </c>
      <c r="J100" s="5" t="s">
        <v>79</v>
      </c>
      <c r="K100" t="s">
        <v>8</v>
      </c>
    </row>
    <row r="101" spans="1:11" x14ac:dyDescent="0.75">
      <c r="A101" s="1">
        <v>45834</v>
      </c>
      <c r="B101" s="1" t="s">
        <v>81</v>
      </c>
      <c r="C101" t="s">
        <v>82</v>
      </c>
      <c r="D101">
        <v>16.5</v>
      </c>
      <c r="E101">
        <v>5</v>
      </c>
      <c r="F101">
        <v>31</v>
      </c>
      <c r="G101" t="s">
        <v>64</v>
      </c>
      <c r="H101" s="5">
        <v>0.432731481481481</v>
      </c>
      <c r="I101" s="5">
        <v>0.68633101851851852</v>
      </c>
      <c r="J101" s="5" t="s">
        <v>79</v>
      </c>
      <c r="K101" t="s">
        <v>8</v>
      </c>
    </row>
    <row r="102" spans="1:11" x14ac:dyDescent="0.75">
      <c r="A102" s="1">
        <v>45834</v>
      </c>
      <c r="B102" s="1" t="s">
        <v>81</v>
      </c>
      <c r="C102" t="s">
        <v>82</v>
      </c>
      <c r="D102">
        <v>16.5</v>
      </c>
      <c r="E102">
        <v>5</v>
      </c>
      <c r="F102">
        <v>31</v>
      </c>
      <c r="G102" t="s">
        <v>65</v>
      </c>
      <c r="H102" s="5">
        <v>0.432731481481481</v>
      </c>
      <c r="I102" s="5">
        <v>0.44890046296296299</v>
      </c>
      <c r="J102" s="5" t="s">
        <v>79</v>
      </c>
      <c r="K102" t="s">
        <v>8</v>
      </c>
    </row>
    <row r="103" spans="1:11" x14ac:dyDescent="0.75">
      <c r="A103" s="1">
        <v>45834</v>
      </c>
      <c r="B103" s="1" t="s">
        <v>81</v>
      </c>
      <c r="C103" t="s">
        <v>82</v>
      </c>
      <c r="D103">
        <v>16.5</v>
      </c>
      <c r="E103">
        <v>5</v>
      </c>
      <c r="F103">
        <v>31</v>
      </c>
      <c r="G103" t="s">
        <v>65</v>
      </c>
      <c r="H103" s="5">
        <v>0.432731481481481</v>
      </c>
      <c r="I103" s="5">
        <v>0.54172453703703705</v>
      </c>
      <c r="J103" s="5" t="s">
        <v>79</v>
      </c>
      <c r="K103" t="s">
        <v>8</v>
      </c>
    </row>
    <row r="104" spans="1:11" x14ac:dyDescent="0.75">
      <c r="A104" s="1">
        <v>45834</v>
      </c>
      <c r="B104" s="1" t="s">
        <v>81</v>
      </c>
      <c r="C104" t="s">
        <v>82</v>
      </c>
      <c r="D104">
        <v>16.5</v>
      </c>
      <c r="E104">
        <v>5</v>
      </c>
      <c r="F104">
        <v>31</v>
      </c>
      <c r="G104" t="s">
        <v>65</v>
      </c>
      <c r="H104" s="5">
        <v>0.432731481481481</v>
      </c>
      <c r="I104" s="5">
        <v>0.54456018518518523</v>
      </c>
      <c r="J104" s="5" t="s">
        <v>79</v>
      </c>
      <c r="K104" t="s">
        <v>8</v>
      </c>
    </row>
    <row r="105" spans="1:11" x14ac:dyDescent="0.75">
      <c r="A105" s="1">
        <v>45834</v>
      </c>
      <c r="B105" s="1" t="s">
        <v>81</v>
      </c>
      <c r="C105" t="s">
        <v>82</v>
      </c>
      <c r="D105">
        <v>16.5</v>
      </c>
      <c r="E105">
        <v>5</v>
      </c>
      <c r="F105">
        <v>31</v>
      </c>
      <c r="G105" t="s">
        <v>65</v>
      </c>
      <c r="H105" s="5">
        <v>0.432731481481481</v>
      </c>
      <c r="I105" s="5">
        <v>0.57881944444444444</v>
      </c>
      <c r="J105" s="5" t="s">
        <v>79</v>
      </c>
      <c r="K105" t="s">
        <v>8</v>
      </c>
    </row>
    <row r="106" spans="1:11" x14ac:dyDescent="0.75">
      <c r="A106" s="1">
        <v>45834</v>
      </c>
      <c r="B106" s="1" t="s">
        <v>81</v>
      </c>
      <c r="C106" t="s">
        <v>82</v>
      </c>
      <c r="D106">
        <v>16.5</v>
      </c>
      <c r="E106">
        <v>5</v>
      </c>
      <c r="F106">
        <v>31</v>
      </c>
      <c r="G106" t="s">
        <v>65</v>
      </c>
      <c r="H106" s="5">
        <v>0.432731481481481</v>
      </c>
      <c r="I106" s="5">
        <v>0.62631944444444443</v>
      </c>
      <c r="J106" s="5" t="s">
        <v>79</v>
      </c>
      <c r="K106" t="s">
        <v>8</v>
      </c>
    </row>
    <row r="107" spans="1:11" x14ac:dyDescent="0.75">
      <c r="A107" s="1">
        <v>45834</v>
      </c>
      <c r="B107" s="1" t="s">
        <v>81</v>
      </c>
      <c r="C107" t="s">
        <v>82</v>
      </c>
      <c r="D107">
        <v>16.5</v>
      </c>
      <c r="E107">
        <v>6</v>
      </c>
      <c r="F107">
        <v>31</v>
      </c>
      <c r="G107" t="s">
        <v>67</v>
      </c>
      <c r="H107" s="5">
        <v>0.432731481481481</v>
      </c>
      <c r="I107" s="5">
        <v>0.45807870370370368</v>
      </c>
      <c r="J107" s="5" t="s">
        <v>79</v>
      </c>
      <c r="K107" t="s">
        <v>8</v>
      </c>
    </row>
    <row r="108" spans="1:11" x14ac:dyDescent="0.75">
      <c r="A108" s="1">
        <v>45834</v>
      </c>
      <c r="B108" s="1" t="s">
        <v>81</v>
      </c>
      <c r="C108" t="s">
        <v>82</v>
      </c>
      <c r="D108">
        <v>16.5</v>
      </c>
      <c r="E108">
        <v>6</v>
      </c>
      <c r="F108">
        <v>31</v>
      </c>
      <c r="G108" t="s">
        <v>67</v>
      </c>
      <c r="H108" s="5">
        <v>0.432731481481481</v>
      </c>
      <c r="I108" s="5">
        <v>0.48043981481481479</v>
      </c>
      <c r="J108" s="5" t="s">
        <v>79</v>
      </c>
      <c r="K108" t="s">
        <v>8</v>
      </c>
    </row>
    <row r="109" spans="1:11" x14ac:dyDescent="0.75">
      <c r="A109" s="1">
        <v>45834</v>
      </c>
      <c r="B109" s="1" t="s">
        <v>81</v>
      </c>
      <c r="C109" t="s">
        <v>82</v>
      </c>
      <c r="D109">
        <v>16.5</v>
      </c>
      <c r="E109">
        <v>6</v>
      </c>
      <c r="F109">
        <v>31</v>
      </c>
      <c r="G109" t="s">
        <v>67</v>
      </c>
      <c r="H109" s="5">
        <v>0.432731481481481</v>
      </c>
      <c r="I109" s="5">
        <v>0.57453703703703707</v>
      </c>
      <c r="J109" s="5" t="s">
        <v>79</v>
      </c>
      <c r="K109" t="s">
        <v>8</v>
      </c>
    </row>
    <row r="110" spans="1:11" x14ac:dyDescent="0.75">
      <c r="A110" s="1">
        <v>45834</v>
      </c>
      <c r="B110" s="1" t="s">
        <v>81</v>
      </c>
      <c r="C110" t="s">
        <v>82</v>
      </c>
      <c r="D110">
        <v>16.5</v>
      </c>
      <c r="E110">
        <v>6</v>
      </c>
      <c r="F110">
        <v>31</v>
      </c>
      <c r="G110" t="s">
        <v>67</v>
      </c>
      <c r="H110" s="5">
        <v>0.432731481481481</v>
      </c>
      <c r="I110" s="5">
        <v>0.58387731481481486</v>
      </c>
      <c r="J110" s="5" t="s">
        <v>79</v>
      </c>
      <c r="K110" t="s">
        <v>8</v>
      </c>
    </row>
    <row r="111" spans="1:11" x14ac:dyDescent="0.75">
      <c r="A111" s="1">
        <v>45834</v>
      </c>
      <c r="B111" s="1" t="s">
        <v>81</v>
      </c>
      <c r="C111" t="s">
        <v>82</v>
      </c>
      <c r="D111">
        <v>16.5</v>
      </c>
      <c r="E111">
        <v>6</v>
      </c>
      <c r="F111">
        <v>31</v>
      </c>
      <c r="G111" t="s">
        <v>67</v>
      </c>
      <c r="H111" s="5">
        <v>0.432731481481481</v>
      </c>
      <c r="I111" s="5">
        <v>0.66125</v>
      </c>
      <c r="J111" s="5" t="s">
        <v>79</v>
      </c>
      <c r="K111" t="s">
        <v>8</v>
      </c>
    </row>
    <row r="112" spans="1:11" x14ac:dyDescent="0.75">
      <c r="A112" s="1">
        <v>45834</v>
      </c>
      <c r="B112" s="1" t="s">
        <v>81</v>
      </c>
      <c r="C112" t="s">
        <v>82</v>
      </c>
      <c r="D112">
        <v>16.5</v>
      </c>
      <c r="E112">
        <v>6</v>
      </c>
      <c r="F112">
        <v>31</v>
      </c>
      <c r="G112" t="s">
        <v>69</v>
      </c>
      <c r="H112" s="5">
        <v>0.432731481481481</v>
      </c>
      <c r="I112" s="5">
        <v>0.43690972222222224</v>
      </c>
      <c r="J112" s="5" t="s">
        <v>79</v>
      </c>
      <c r="K112" t="s">
        <v>8</v>
      </c>
    </row>
    <row r="113" spans="1:11" x14ac:dyDescent="0.75">
      <c r="A113" s="1">
        <v>45834</v>
      </c>
      <c r="B113" s="1" t="s">
        <v>81</v>
      </c>
      <c r="C113" t="s">
        <v>82</v>
      </c>
      <c r="D113">
        <v>16.5</v>
      </c>
      <c r="E113">
        <v>6</v>
      </c>
      <c r="F113">
        <v>31</v>
      </c>
      <c r="G113" t="s">
        <v>69</v>
      </c>
      <c r="H113" s="5">
        <v>0.432731481481481</v>
      </c>
      <c r="I113" s="5">
        <v>0.51082175925925921</v>
      </c>
      <c r="J113" s="5" t="s">
        <v>79</v>
      </c>
      <c r="K113" t="s">
        <v>8</v>
      </c>
    </row>
    <row r="114" spans="1:11" x14ac:dyDescent="0.75">
      <c r="A114" s="1">
        <v>45834</v>
      </c>
      <c r="B114" s="1" t="s">
        <v>81</v>
      </c>
      <c r="C114" t="s">
        <v>82</v>
      </c>
      <c r="D114">
        <v>16.5</v>
      </c>
      <c r="E114">
        <v>6</v>
      </c>
      <c r="F114">
        <v>31</v>
      </c>
      <c r="G114" t="s">
        <v>69</v>
      </c>
      <c r="H114" s="5">
        <v>0.432731481481481</v>
      </c>
      <c r="I114" s="5">
        <v>0.55300925925925926</v>
      </c>
      <c r="J114" s="5" t="s">
        <v>79</v>
      </c>
      <c r="K114" t="s">
        <v>8</v>
      </c>
    </row>
    <row r="115" spans="1:11" x14ac:dyDescent="0.75">
      <c r="A115" s="1">
        <v>45834</v>
      </c>
      <c r="B115" s="1" t="s">
        <v>81</v>
      </c>
      <c r="C115" t="s">
        <v>82</v>
      </c>
      <c r="D115">
        <v>16.5</v>
      </c>
      <c r="E115">
        <v>6</v>
      </c>
      <c r="F115">
        <v>31</v>
      </c>
      <c r="G115" t="s">
        <v>69</v>
      </c>
      <c r="H115" s="5">
        <v>0.432731481481481</v>
      </c>
      <c r="I115" s="5">
        <v>0.5805555555555556</v>
      </c>
      <c r="J115" s="5" t="s">
        <v>79</v>
      </c>
      <c r="K115" t="s">
        <v>8</v>
      </c>
    </row>
    <row r="116" spans="1:11" x14ac:dyDescent="0.75">
      <c r="A116" s="1">
        <v>45834</v>
      </c>
      <c r="B116" s="1" t="s">
        <v>81</v>
      </c>
      <c r="C116" t="s">
        <v>82</v>
      </c>
      <c r="D116">
        <v>16.5</v>
      </c>
      <c r="E116">
        <v>6</v>
      </c>
      <c r="F116">
        <v>31</v>
      </c>
      <c r="G116" t="s">
        <v>69</v>
      </c>
      <c r="H116" s="5">
        <v>0.432731481481481</v>
      </c>
      <c r="I116" s="5">
        <v>0.69473379629629628</v>
      </c>
      <c r="J116" s="5" t="s">
        <v>79</v>
      </c>
      <c r="K116" t="s">
        <v>8</v>
      </c>
    </row>
    <row r="117" spans="1:11" x14ac:dyDescent="0.75">
      <c r="A117" s="1">
        <v>45834</v>
      </c>
      <c r="B117" s="1" t="s">
        <v>81</v>
      </c>
      <c r="C117" t="s">
        <v>82</v>
      </c>
      <c r="D117">
        <v>16.5</v>
      </c>
      <c r="E117">
        <v>6</v>
      </c>
      <c r="F117">
        <v>31</v>
      </c>
      <c r="G117" t="s">
        <v>70</v>
      </c>
      <c r="H117" s="5">
        <v>0.432731481481481</v>
      </c>
      <c r="I117" s="5">
        <v>0.47652777777777777</v>
      </c>
      <c r="J117" s="5" t="s">
        <v>79</v>
      </c>
      <c r="K117" t="s">
        <v>8</v>
      </c>
    </row>
    <row r="118" spans="1:11" x14ac:dyDescent="0.75">
      <c r="A118" s="1">
        <v>45834</v>
      </c>
      <c r="B118" s="1" t="s">
        <v>81</v>
      </c>
      <c r="C118" t="s">
        <v>82</v>
      </c>
      <c r="D118">
        <v>16.5</v>
      </c>
      <c r="E118">
        <v>6</v>
      </c>
      <c r="F118">
        <v>31</v>
      </c>
      <c r="G118" t="s">
        <v>70</v>
      </c>
      <c r="H118" s="5">
        <v>0.432731481481481</v>
      </c>
      <c r="I118" s="5">
        <v>0.56278935185185186</v>
      </c>
      <c r="J118" s="5" t="s">
        <v>79</v>
      </c>
      <c r="K118" t="s">
        <v>8</v>
      </c>
    </row>
    <row r="119" spans="1:11" x14ac:dyDescent="0.75">
      <c r="A119" s="1">
        <v>45834</v>
      </c>
      <c r="B119" s="1" t="s">
        <v>81</v>
      </c>
      <c r="C119" t="s">
        <v>82</v>
      </c>
      <c r="D119">
        <v>16.5</v>
      </c>
      <c r="E119">
        <v>6</v>
      </c>
      <c r="F119">
        <v>31</v>
      </c>
      <c r="G119" t="s">
        <v>70</v>
      </c>
      <c r="H119" s="5">
        <v>0.432731481481481</v>
      </c>
      <c r="I119" s="5">
        <v>0.5960185185185185</v>
      </c>
      <c r="J119" s="5" t="s">
        <v>79</v>
      </c>
      <c r="K119" t="s">
        <v>8</v>
      </c>
    </row>
    <row r="120" spans="1:11" x14ac:dyDescent="0.75">
      <c r="A120" s="1">
        <v>45834</v>
      </c>
      <c r="B120" s="1" t="s">
        <v>81</v>
      </c>
      <c r="C120" t="s">
        <v>82</v>
      </c>
      <c r="D120">
        <v>16.5</v>
      </c>
      <c r="E120">
        <v>6</v>
      </c>
      <c r="F120">
        <v>31</v>
      </c>
      <c r="G120" t="s">
        <v>70</v>
      </c>
      <c r="H120" s="5">
        <v>0.432731481481481</v>
      </c>
      <c r="I120" s="5">
        <v>0.59646990740740746</v>
      </c>
      <c r="J120" s="5" t="s">
        <v>79</v>
      </c>
      <c r="K120" t="s">
        <v>8</v>
      </c>
    </row>
    <row r="121" spans="1:11" x14ac:dyDescent="0.75">
      <c r="A121" s="1">
        <v>45834</v>
      </c>
      <c r="B121" s="1" t="s">
        <v>81</v>
      </c>
      <c r="C121" t="s">
        <v>82</v>
      </c>
      <c r="D121">
        <v>16.5</v>
      </c>
      <c r="E121">
        <v>6</v>
      </c>
      <c r="F121">
        <v>31</v>
      </c>
      <c r="G121" t="s">
        <v>70</v>
      </c>
      <c r="H121" s="5">
        <v>0.432731481481481</v>
      </c>
      <c r="I121" s="5">
        <v>0.63207175925925929</v>
      </c>
      <c r="J121" s="5" t="s">
        <v>79</v>
      </c>
      <c r="K121" t="s">
        <v>8</v>
      </c>
    </row>
    <row r="122" spans="1:11" x14ac:dyDescent="0.75">
      <c r="A122" s="1">
        <v>45834</v>
      </c>
      <c r="B122" s="1" t="s">
        <v>81</v>
      </c>
      <c r="C122" t="s">
        <v>82</v>
      </c>
      <c r="D122">
        <v>16.5</v>
      </c>
      <c r="E122">
        <v>4</v>
      </c>
      <c r="F122">
        <v>31.5</v>
      </c>
      <c r="G122" t="s">
        <v>68</v>
      </c>
      <c r="H122" s="5">
        <v>0.44398148148148148</v>
      </c>
      <c r="I122" s="5">
        <v>0.47239583333333335</v>
      </c>
      <c r="J122" s="5" t="s">
        <v>79</v>
      </c>
      <c r="K122" t="s">
        <v>8</v>
      </c>
    </row>
    <row r="123" spans="1:11" x14ac:dyDescent="0.75">
      <c r="A123" s="1">
        <v>45834</v>
      </c>
      <c r="B123" s="1" t="s">
        <v>81</v>
      </c>
      <c r="C123" t="s">
        <v>82</v>
      </c>
      <c r="D123">
        <v>16.5</v>
      </c>
      <c r="E123">
        <v>4</v>
      </c>
      <c r="F123">
        <v>31.5</v>
      </c>
      <c r="G123" t="s">
        <v>68</v>
      </c>
      <c r="H123" s="5">
        <v>0.44398148148148148</v>
      </c>
      <c r="I123" s="5">
        <v>0.48223379629629631</v>
      </c>
      <c r="J123" s="5" t="s">
        <v>79</v>
      </c>
      <c r="K123" t="s">
        <v>8</v>
      </c>
    </row>
    <row r="124" spans="1:11" x14ac:dyDescent="0.75">
      <c r="A124" s="1">
        <v>45834</v>
      </c>
      <c r="B124" s="1" t="s">
        <v>81</v>
      </c>
      <c r="C124" t="s">
        <v>82</v>
      </c>
      <c r="D124">
        <v>16.5</v>
      </c>
      <c r="E124">
        <v>4</v>
      </c>
      <c r="F124">
        <v>31.5</v>
      </c>
      <c r="G124" t="s">
        <v>68</v>
      </c>
      <c r="H124" s="5">
        <v>0.44398148148148098</v>
      </c>
      <c r="I124" s="5">
        <v>0.51815972222222217</v>
      </c>
      <c r="J124" s="5" t="s">
        <v>79</v>
      </c>
      <c r="K124" t="s">
        <v>8</v>
      </c>
    </row>
    <row r="125" spans="1:11" x14ac:dyDescent="0.75">
      <c r="A125" s="1">
        <v>45834</v>
      </c>
      <c r="B125" s="1" t="s">
        <v>81</v>
      </c>
      <c r="C125" t="s">
        <v>82</v>
      </c>
      <c r="D125">
        <v>16.5</v>
      </c>
      <c r="E125">
        <v>4</v>
      </c>
      <c r="F125">
        <v>31.5</v>
      </c>
      <c r="G125" t="s">
        <v>68</v>
      </c>
      <c r="H125" s="5">
        <v>0.44398148148148098</v>
      </c>
      <c r="I125" s="5">
        <v>0.57384259259259263</v>
      </c>
      <c r="J125" s="5" t="s">
        <v>79</v>
      </c>
      <c r="K125" t="s">
        <v>8</v>
      </c>
    </row>
    <row r="126" spans="1:11" x14ac:dyDescent="0.75">
      <c r="A126" s="1">
        <v>45834</v>
      </c>
      <c r="B126" s="1" t="s">
        <v>81</v>
      </c>
      <c r="C126" t="s">
        <v>82</v>
      </c>
      <c r="D126">
        <v>16.5</v>
      </c>
      <c r="E126">
        <v>4</v>
      </c>
      <c r="F126">
        <v>31.5</v>
      </c>
      <c r="G126" t="s">
        <v>68</v>
      </c>
      <c r="H126" s="5">
        <v>0.44398148148148098</v>
      </c>
      <c r="I126" s="5" t="s">
        <v>8</v>
      </c>
      <c r="J126" s="5" t="s">
        <v>74</v>
      </c>
      <c r="K126" t="s">
        <v>83</v>
      </c>
    </row>
    <row r="127" spans="1:11" x14ac:dyDescent="0.75">
      <c r="A127" s="1">
        <v>45834</v>
      </c>
      <c r="B127" s="1" t="s">
        <v>81</v>
      </c>
      <c r="C127" t="s">
        <v>82</v>
      </c>
      <c r="D127">
        <v>16.5</v>
      </c>
      <c r="E127">
        <v>4</v>
      </c>
      <c r="F127">
        <v>31.5</v>
      </c>
      <c r="G127" t="s">
        <v>77</v>
      </c>
      <c r="H127" s="5">
        <v>0.44398148148148098</v>
      </c>
      <c r="I127" s="5">
        <v>0.44918981481481479</v>
      </c>
      <c r="J127" s="5" t="s">
        <v>79</v>
      </c>
      <c r="K127" t="s">
        <v>8</v>
      </c>
    </row>
    <row r="128" spans="1:11" x14ac:dyDescent="0.75">
      <c r="A128" s="1">
        <v>45834</v>
      </c>
      <c r="B128" s="1" t="s">
        <v>81</v>
      </c>
      <c r="C128" t="s">
        <v>82</v>
      </c>
      <c r="D128">
        <v>16.5</v>
      </c>
      <c r="E128">
        <v>4</v>
      </c>
      <c r="F128">
        <v>31.5</v>
      </c>
      <c r="G128" t="s">
        <v>77</v>
      </c>
      <c r="H128" s="5">
        <v>0.44398148148148098</v>
      </c>
      <c r="I128" s="4">
        <v>0.45020833333333332</v>
      </c>
      <c r="J128" s="5" t="s">
        <v>79</v>
      </c>
      <c r="K128" t="s">
        <v>8</v>
      </c>
    </row>
    <row r="129" spans="1:11" x14ac:dyDescent="0.75">
      <c r="A129" s="1">
        <v>45834</v>
      </c>
      <c r="B129" s="1" t="s">
        <v>81</v>
      </c>
      <c r="C129" t="s">
        <v>82</v>
      </c>
      <c r="D129">
        <v>16.5</v>
      </c>
      <c r="E129">
        <v>4</v>
      </c>
      <c r="F129">
        <v>31.5</v>
      </c>
      <c r="G129" t="s">
        <v>77</v>
      </c>
      <c r="H129" s="5">
        <v>0.44398148148148098</v>
      </c>
      <c r="I129" s="4">
        <v>0.46295138888888887</v>
      </c>
      <c r="J129" s="5" t="s">
        <v>79</v>
      </c>
      <c r="K129" t="s">
        <v>8</v>
      </c>
    </row>
    <row r="130" spans="1:11" x14ac:dyDescent="0.75">
      <c r="A130" s="1">
        <v>45834</v>
      </c>
      <c r="B130" s="1" t="s">
        <v>81</v>
      </c>
      <c r="C130" t="s">
        <v>82</v>
      </c>
      <c r="D130">
        <v>16.5</v>
      </c>
      <c r="E130">
        <v>4</v>
      </c>
      <c r="F130">
        <v>31.5</v>
      </c>
      <c r="G130" t="s">
        <v>77</v>
      </c>
      <c r="H130" s="5">
        <v>0.44398148148148098</v>
      </c>
      <c r="I130" s="4">
        <v>0.51833333333333331</v>
      </c>
      <c r="J130" s="5" t="s">
        <v>79</v>
      </c>
      <c r="K130" t="s">
        <v>8</v>
      </c>
    </row>
    <row r="131" spans="1:11" x14ac:dyDescent="0.75">
      <c r="A131" s="1">
        <v>45834</v>
      </c>
      <c r="B131" s="1" t="s">
        <v>81</v>
      </c>
      <c r="C131" t="s">
        <v>82</v>
      </c>
      <c r="D131">
        <v>16.5</v>
      </c>
      <c r="E131">
        <v>4</v>
      </c>
      <c r="F131">
        <v>31.5</v>
      </c>
      <c r="G131" t="s">
        <v>77</v>
      </c>
      <c r="H131" s="5">
        <v>0.44398148148148098</v>
      </c>
      <c r="I131" s="4">
        <v>0.54374999999999996</v>
      </c>
      <c r="J131" s="5" t="s">
        <v>79</v>
      </c>
      <c r="K131" t="s">
        <v>8</v>
      </c>
    </row>
    <row r="132" spans="1:11" x14ac:dyDescent="0.75">
      <c r="A132" s="1">
        <v>45834</v>
      </c>
      <c r="B132" s="1" t="s">
        <v>81</v>
      </c>
      <c r="C132" t="s">
        <v>82</v>
      </c>
      <c r="D132">
        <v>16.5</v>
      </c>
      <c r="E132">
        <v>4</v>
      </c>
      <c r="F132">
        <v>31.5</v>
      </c>
      <c r="G132" t="s">
        <v>78</v>
      </c>
      <c r="H132" s="5">
        <v>0.44398148148148098</v>
      </c>
      <c r="I132" s="4">
        <v>0.48668981481481483</v>
      </c>
      <c r="J132" s="5" t="s">
        <v>79</v>
      </c>
      <c r="K132" t="s">
        <v>8</v>
      </c>
    </row>
    <row r="133" spans="1:11" x14ac:dyDescent="0.75">
      <c r="A133" s="1">
        <v>45834</v>
      </c>
      <c r="B133" s="1" t="s">
        <v>81</v>
      </c>
      <c r="C133" t="s">
        <v>82</v>
      </c>
      <c r="D133">
        <v>16.5</v>
      </c>
      <c r="E133">
        <v>4</v>
      </c>
      <c r="F133">
        <v>31.5</v>
      </c>
      <c r="G133" t="s">
        <v>78</v>
      </c>
      <c r="H133" s="5">
        <v>0.44398148148148098</v>
      </c>
      <c r="I133" s="5">
        <v>0.48940972222222223</v>
      </c>
      <c r="J133" s="5" t="s">
        <v>79</v>
      </c>
      <c r="K133" t="s">
        <v>8</v>
      </c>
    </row>
    <row r="134" spans="1:11" x14ac:dyDescent="0.75">
      <c r="A134" s="1">
        <v>45834</v>
      </c>
      <c r="B134" s="1" t="s">
        <v>81</v>
      </c>
      <c r="C134" t="s">
        <v>82</v>
      </c>
      <c r="D134">
        <v>16.5</v>
      </c>
      <c r="E134">
        <v>4</v>
      </c>
      <c r="F134">
        <v>31.5</v>
      </c>
      <c r="G134" t="s">
        <v>78</v>
      </c>
      <c r="H134" s="5">
        <v>0.44398148148148098</v>
      </c>
      <c r="I134" s="5">
        <v>0.49252314814814813</v>
      </c>
      <c r="J134" s="5" t="s">
        <v>79</v>
      </c>
      <c r="K134" t="s">
        <v>8</v>
      </c>
    </row>
    <row r="135" spans="1:11" x14ac:dyDescent="0.75">
      <c r="A135" s="1">
        <v>45834</v>
      </c>
      <c r="B135" s="1" t="s">
        <v>81</v>
      </c>
      <c r="C135" t="s">
        <v>82</v>
      </c>
      <c r="D135">
        <v>16.5</v>
      </c>
      <c r="E135">
        <v>4</v>
      </c>
      <c r="F135">
        <v>31.5</v>
      </c>
      <c r="G135" t="s">
        <v>78</v>
      </c>
      <c r="H135" s="5">
        <v>0.44398148148148098</v>
      </c>
      <c r="I135" s="5">
        <v>0.53666666666666663</v>
      </c>
      <c r="J135" s="5" t="s">
        <v>79</v>
      </c>
      <c r="K135" t="s">
        <v>8</v>
      </c>
    </row>
    <row r="136" spans="1:11" x14ac:dyDescent="0.75">
      <c r="A136" s="1">
        <v>45834</v>
      </c>
      <c r="B136" s="1" t="s">
        <v>81</v>
      </c>
      <c r="C136" t="s">
        <v>82</v>
      </c>
      <c r="D136">
        <v>16.5</v>
      </c>
      <c r="E136">
        <v>4</v>
      </c>
      <c r="F136">
        <v>31.5</v>
      </c>
      <c r="G136" t="s">
        <v>78</v>
      </c>
      <c r="H136" s="5">
        <v>0.44398148148148098</v>
      </c>
      <c r="I136" s="5">
        <v>0.55412037037037032</v>
      </c>
      <c r="J136" s="5" t="s">
        <v>79</v>
      </c>
      <c r="K136" t="s">
        <v>8</v>
      </c>
    </row>
    <row r="137" spans="1:11" x14ac:dyDescent="0.75">
      <c r="A137" s="1">
        <v>45834</v>
      </c>
      <c r="B137" s="1" t="s">
        <v>81</v>
      </c>
      <c r="C137" t="s">
        <v>82</v>
      </c>
      <c r="D137">
        <v>16.5</v>
      </c>
      <c r="E137">
        <v>3</v>
      </c>
      <c r="F137">
        <v>32</v>
      </c>
      <c r="G137" t="s">
        <v>68</v>
      </c>
      <c r="H137" s="5">
        <v>0.44398148148148098</v>
      </c>
      <c r="I137" s="5">
        <v>0.44437500000000002</v>
      </c>
      <c r="J137" s="5" t="s">
        <v>79</v>
      </c>
      <c r="K137" t="s">
        <v>8</v>
      </c>
    </row>
    <row r="138" spans="1:11" x14ac:dyDescent="0.75">
      <c r="A138" s="1">
        <v>45834</v>
      </c>
      <c r="B138" s="1" t="s">
        <v>81</v>
      </c>
      <c r="C138" t="s">
        <v>82</v>
      </c>
      <c r="D138">
        <v>16.5</v>
      </c>
      <c r="E138">
        <v>3</v>
      </c>
      <c r="F138">
        <v>32</v>
      </c>
      <c r="G138" t="s">
        <v>68</v>
      </c>
      <c r="H138" s="5">
        <v>0.44398148148148098</v>
      </c>
      <c r="I138" s="5">
        <v>0.45815972222222223</v>
      </c>
      <c r="J138" s="5" t="s">
        <v>79</v>
      </c>
      <c r="K138" t="s">
        <v>8</v>
      </c>
    </row>
    <row r="139" spans="1:11" x14ac:dyDescent="0.75">
      <c r="A139" s="1">
        <v>45834</v>
      </c>
      <c r="B139" s="1" t="s">
        <v>81</v>
      </c>
      <c r="C139" t="s">
        <v>82</v>
      </c>
      <c r="D139">
        <v>16.5</v>
      </c>
      <c r="E139">
        <v>3</v>
      </c>
      <c r="F139">
        <v>32</v>
      </c>
      <c r="G139" t="s">
        <v>68</v>
      </c>
      <c r="H139" s="5">
        <v>0.44398148148148098</v>
      </c>
      <c r="I139" s="5">
        <v>0.46732638888888889</v>
      </c>
      <c r="J139" s="5" t="s">
        <v>79</v>
      </c>
      <c r="K139" t="s">
        <v>8</v>
      </c>
    </row>
    <row r="140" spans="1:11" x14ac:dyDescent="0.75">
      <c r="A140" s="1">
        <v>45834</v>
      </c>
      <c r="B140" s="1" t="s">
        <v>81</v>
      </c>
      <c r="C140" t="s">
        <v>82</v>
      </c>
      <c r="D140">
        <v>16.5</v>
      </c>
      <c r="E140">
        <v>3</v>
      </c>
      <c r="F140">
        <v>32</v>
      </c>
      <c r="G140" t="s">
        <v>68</v>
      </c>
      <c r="H140" s="5">
        <v>0.44398148148148098</v>
      </c>
      <c r="I140" s="5">
        <v>0.49333333333333335</v>
      </c>
      <c r="J140" s="5" t="s">
        <v>79</v>
      </c>
      <c r="K140" t="s">
        <v>8</v>
      </c>
    </row>
    <row r="141" spans="1:11" x14ac:dyDescent="0.75">
      <c r="A141" s="1">
        <v>45834</v>
      </c>
      <c r="B141" s="1" t="s">
        <v>81</v>
      </c>
      <c r="C141" t="s">
        <v>82</v>
      </c>
      <c r="D141">
        <v>16.5</v>
      </c>
      <c r="E141">
        <v>3</v>
      </c>
      <c r="F141">
        <v>32</v>
      </c>
      <c r="G141" t="s">
        <v>68</v>
      </c>
      <c r="H141" s="5">
        <v>0.44398148148148098</v>
      </c>
      <c r="I141" s="5">
        <v>0.56072916666666661</v>
      </c>
      <c r="J141" s="5" t="s">
        <v>79</v>
      </c>
      <c r="K141" t="s">
        <v>8</v>
      </c>
    </row>
    <row r="142" spans="1:11" x14ac:dyDescent="0.75">
      <c r="A142" s="1">
        <v>45834</v>
      </c>
      <c r="B142" s="1" t="s">
        <v>81</v>
      </c>
      <c r="C142" t="s">
        <v>82</v>
      </c>
      <c r="D142">
        <v>16.5</v>
      </c>
      <c r="E142">
        <v>3</v>
      </c>
      <c r="F142">
        <v>32</v>
      </c>
      <c r="G142" t="s">
        <v>77</v>
      </c>
      <c r="H142" s="5">
        <v>0.44398148148148098</v>
      </c>
      <c r="I142" s="5">
        <v>0.4505439814814815</v>
      </c>
      <c r="J142" s="5" t="s">
        <v>79</v>
      </c>
      <c r="K142" t="s">
        <v>8</v>
      </c>
    </row>
    <row r="143" spans="1:11" x14ac:dyDescent="0.75">
      <c r="A143" s="1">
        <v>45834</v>
      </c>
      <c r="B143" s="1" t="s">
        <v>81</v>
      </c>
      <c r="C143" t="s">
        <v>82</v>
      </c>
      <c r="D143">
        <v>16.5</v>
      </c>
      <c r="E143">
        <v>3</v>
      </c>
      <c r="F143">
        <v>32</v>
      </c>
      <c r="G143" t="s">
        <v>77</v>
      </c>
      <c r="H143" s="5">
        <v>0.44398148148148098</v>
      </c>
      <c r="I143" s="5">
        <v>0.46510416666666665</v>
      </c>
      <c r="J143" s="5" t="s">
        <v>79</v>
      </c>
      <c r="K143" t="s">
        <v>8</v>
      </c>
    </row>
    <row r="144" spans="1:11" x14ac:dyDescent="0.75">
      <c r="A144" s="1">
        <v>45834</v>
      </c>
      <c r="B144" s="1" t="s">
        <v>81</v>
      </c>
      <c r="C144" t="s">
        <v>82</v>
      </c>
      <c r="D144">
        <v>16.5</v>
      </c>
      <c r="E144">
        <v>3</v>
      </c>
      <c r="F144">
        <v>32</v>
      </c>
      <c r="G144" t="s">
        <v>77</v>
      </c>
      <c r="H144" s="5">
        <v>0.44398148148148098</v>
      </c>
      <c r="I144" s="5">
        <v>0.48686342592592591</v>
      </c>
      <c r="J144" s="5" t="s">
        <v>79</v>
      </c>
      <c r="K144" t="s">
        <v>8</v>
      </c>
    </row>
    <row r="145" spans="1:11" x14ac:dyDescent="0.75">
      <c r="A145" s="1">
        <v>45834</v>
      </c>
      <c r="B145" s="1" t="s">
        <v>81</v>
      </c>
      <c r="C145" t="s">
        <v>82</v>
      </c>
      <c r="D145">
        <v>16.5</v>
      </c>
      <c r="E145">
        <v>3</v>
      </c>
      <c r="F145">
        <v>32</v>
      </c>
      <c r="G145" t="s">
        <v>77</v>
      </c>
      <c r="H145" s="5">
        <v>0.44398148148148098</v>
      </c>
      <c r="I145" s="5">
        <v>0.49916666666666665</v>
      </c>
      <c r="J145" s="5" t="s">
        <v>79</v>
      </c>
      <c r="K145" t="s">
        <v>8</v>
      </c>
    </row>
    <row r="146" spans="1:11" x14ac:dyDescent="0.75">
      <c r="A146" s="1">
        <v>45834</v>
      </c>
      <c r="B146" s="1" t="s">
        <v>81</v>
      </c>
      <c r="C146" t="s">
        <v>82</v>
      </c>
      <c r="D146">
        <v>16.5</v>
      </c>
      <c r="E146">
        <v>3</v>
      </c>
      <c r="F146">
        <v>32</v>
      </c>
      <c r="G146" t="s">
        <v>77</v>
      </c>
      <c r="H146" s="5">
        <v>0.44398148148148098</v>
      </c>
      <c r="I146" s="5">
        <v>0.55160879629629633</v>
      </c>
      <c r="J146" s="5" t="s">
        <v>79</v>
      </c>
      <c r="K146" t="s">
        <v>8</v>
      </c>
    </row>
    <row r="147" spans="1:11" x14ac:dyDescent="0.75">
      <c r="A147" s="1">
        <v>45834</v>
      </c>
      <c r="B147" s="1" t="s">
        <v>81</v>
      </c>
      <c r="C147" t="s">
        <v>82</v>
      </c>
      <c r="D147">
        <v>16.5</v>
      </c>
      <c r="E147">
        <v>3</v>
      </c>
      <c r="F147">
        <v>32</v>
      </c>
      <c r="G147" t="s">
        <v>78</v>
      </c>
      <c r="H147" s="5">
        <v>0.44398148148148098</v>
      </c>
      <c r="I147" s="5">
        <v>0.44896990740740739</v>
      </c>
      <c r="J147" s="5" t="s">
        <v>79</v>
      </c>
      <c r="K147" t="s">
        <v>8</v>
      </c>
    </row>
    <row r="148" spans="1:11" x14ac:dyDescent="0.75">
      <c r="A148" s="1">
        <v>45834</v>
      </c>
      <c r="B148" s="1" t="s">
        <v>81</v>
      </c>
      <c r="C148" t="s">
        <v>82</v>
      </c>
      <c r="D148">
        <v>16.5</v>
      </c>
      <c r="E148">
        <v>3</v>
      </c>
      <c r="F148">
        <v>32</v>
      </c>
      <c r="G148" t="s">
        <v>78</v>
      </c>
      <c r="H148" s="5">
        <v>0.44398148148148098</v>
      </c>
      <c r="I148" s="5">
        <v>0.45153935185185184</v>
      </c>
      <c r="J148" s="5" t="s">
        <v>79</v>
      </c>
      <c r="K148" t="s">
        <v>8</v>
      </c>
    </row>
    <row r="149" spans="1:11" x14ac:dyDescent="0.75">
      <c r="A149" s="1">
        <v>45834</v>
      </c>
      <c r="B149" s="1" t="s">
        <v>81</v>
      </c>
      <c r="C149" t="s">
        <v>82</v>
      </c>
      <c r="D149">
        <v>16.5</v>
      </c>
      <c r="E149">
        <v>3</v>
      </c>
      <c r="F149">
        <v>32</v>
      </c>
      <c r="G149" t="s">
        <v>78</v>
      </c>
      <c r="H149" s="5">
        <v>0.44398148148148098</v>
      </c>
      <c r="I149" s="5">
        <v>0.45414351851851853</v>
      </c>
      <c r="J149" s="5" t="s">
        <v>79</v>
      </c>
      <c r="K149" t="s">
        <v>8</v>
      </c>
    </row>
    <row r="150" spans="1:11" x14ac:dyDescent="0.75">
      <c r="A150" s="1">
        <v>45834</v>
      </c>
      <c r="B150" s="1" t="s">
        <v>81</v>
      </c>
      <c r="C150" t="s">
        <v>82</v>
      </c>
      <c r="D150">
        <v>16.5</v>
      </c>
      <c r="E150">
        <v>3</v>
      </c>
      <c r="F150">
        <v>32</v>
      </c>
      <c r="G150" t="s">
        <v>78</v>
      </c>
      <c r="H150" s="5">
        <v>0.44398148148148098</v>
      </c>
      <c r="I150" s="5">
        <v>0.52785879629629628</v>
      </c>
      <c r="J150" s="5" t="s">
        <v>79</v>
      </c>
      <c r="K150" t="s">
        <v>8</v>
      </c>
    </row>
    <row r="151" spans="1:11" x14ac:dyDescent="0.75">
      <c r="A151" s="1">
        <v>45834</v>
      </c>
      <c r="B151" s="1" t="s">
        <v>81</v>
      </c>
      <c r="C151" t="s">
        <v>82</v>
      </c>
      <c r="D151">
        <v>16.5</v>
      </c>
      <c r="E151">
        <v>3</v>
      </c>
      <c r="F151">
        <v>32</v>
      </c>
      <c r="G151" t="s">
        <v>78</v>
      </c>
      <c r="H151" s="5">
        <v>0.44398148148148098</v>
      </c>
      <c r="I151" s="5">
        <v>0.53164351851851854</v>
      </c>
      <c r="J151" s="5" t="s">
        <v>79</v>
      </c>
      <c r="K151" t="s">
        <v>8</v>
      </c>
    </row>
    <row r="152" spans="1:11" x14ac:dyDescent="0.75">
      <c r="A152" s="1">
        <v>45834</v>
      </c>
      <c r="B152" s="1" t="s">
        <v>81</v>
      </c>
      <c r="C152" t="s">
        <v>82</v>
      </c>
      <c r="D152">
        <v>16.5</v>
      </c>
      <c r="E152">
        <v>1</v>
      </c>
      <c r="F152">
        <v>32.5</v>
      </c>
      <c r="G152" t="s">
        <v>63</v>
      </c>
      <c r="H152" s="5">
        <v>0.42077546296296298</v>
      </c>
      <c r="I152" s="5">
        <v>0.42156250000000001</v>
      </c>
      <c r="J152" s="5" t="s">
        <v>79</v>
      </c>
      <c r="K152" t="s">
        <v>8</v>
      </c>
    </row>
    <row r="153" spans="1:11" x14ac:dyDescent="0.75">
      <c r="A153" s="1">
        <v>45834</v>
      </c>
      <c r="B153" s="1" t="s">
        <v>81</v>
      </c>
      <c r="C153" t="s">
        <v>82</v>
      </c>
      <c r="D153">
        <v>16.5</v>
      </c>
      <c r="E153">
        <v>1</v>
      </c>
      <c r="F153">
        <v>32.5</v>
      </c>
      <c r="G153" t="s">
        <v>63</v>
      </c>
      <c r="H153" s="5">
        <v>0.42077546296296298</v>
      </c>
      <c r="I153" s="5">
        <v>0.42195601851851849</v>
      </c>
      <c r="J153" s="5" t="s">
        <v>79</v>
      </c>
      <c r="K153" t="s">
        <v>8</v>
      </c>
    </row>
    <row r="154" spans="1:11" x14ac:dyDescent="0.75">
      <c r="A154" s="1">
        <v>45834</v>
      </c>
      <c r="B154" s="1" t="s">
        <v>81</v>
      </c>
      <c r="C154" t="s">
        <v>82</v>
      </c>
      <c r="D154">
        <v>16.5</v>
      </c>
      <c r="E154">
        <v>1</v>
      </c>
      <c r="F154">
        <v>32.5</v>
      </c>
      <c r="G154" t="s">
        <v>63</v>
      </c>
      <c r="H154" s="5">
        <v>0.42077546296296298</v>
      </c>
      <c r="I154" s="5">
        <v>0.42173611111111109</v>
      </c>
      <c r="J154" s="5" t="s">
        <v>79</v>
      </c>
      <c r="K154" t="s">
        <v>8</v>
      </c>
    </row>
    <row r="155" spans="1:11" x14ac:dyDescent="0.75">
      <c r="A155" s="1">
        <v>45834</v>
      </c>
      <c r="B155" s="1" t="s">
        <v>81</v>
      </c>
      <c r="C155" t="s">
        <v>82</v>
      </c>
      <c r="D155">
        <v>16.5</v>
      </c>
      <c r="E155">
        <v>1</v>
      </c>
      <c r="F155">
        <v>32.5</v>
      </c>
      <c r="G155" t="s">
        <v>63</v>
      </c>
      <c r="H155" s="5">
        <v>0.42077546296296298</v>
      </c>
      <c r="I155" s="5">
        <v>0.42298611111111112</v>
      </c>
      <c r="J155" s="5" t="s">
        <v>79</v>
      </c>
      <c r="K155" t="s">
        <v>8</v>
      </c>
    </row>
    <row r="156" spans="1:11" x14ac:dyDescent="0.75">
      <c r="A156" s="1">
        <v>45834</v>
      </c>
      <c r="B156" s="1" t="s">
        <v>81</v>
      </c>
      <c r="C156" t="s">
        <v>82</v>
      </c>
      <c r="D156">
        <v>16.5</v>
      </c>
      <c r="E156">
        <v>1</v>
      </c>
      <c r="F156">
        <v>32.5</v>
      </c>
      <c r="G156" t="s">
        <v>63</v>
      </c>
      <c r="H156" s="5">
        <v>0.42077546296296298</v>
      </c>
      <c r="I156" s="5">
        <v>0.4243865740740741</v>
      </c>
      <c r="J156" s="5" t="s">
        <v>79</v>
      </c>
      <c r="K156" t="s">
        <v>8</v>
      </c>
    </row>
    <row r="157" spans="1:11" x14ac:dyDescent="0.75">
      <c r="A157" s="1">
        <v>45834</v>
      </c>
      <c r="B157" s="1" t="s">
        <v>81</v>
      </c>
      <c r="C157" t="s">
        <v>82</v>
      </c>
      <c r="D157">
        <v>16.5</v>
      </c>
      <c r="E157">
        <v>1</v>
      </c>
      <c r="F157">
        <v>32.5</v>
      </c>
      <c r="G157" t="s">
        <v>64</v>
      </c>
      <c r="H157" s="5">
        <v>0.42077546296296298</v>
      </c>
      <c r="I157" s="5">
        <v>0.42313657407407407</v>
      </c>
      <c r="J157" s="5" t="s">
        <v>79</v>
      </c>
      <c r="K157" t="s">
        <v>8</v>
      </c>
    </row>
    <row r="158" spans="1:11" x14ac:dyDescent="0.75">
      <c r="A158" s="1">
        <v>45834</v>
      </c>
      <c r="B158" s="1" t="s">
        <v>81</v>
      </c>
      <c r="C158" t="s">
        <v>82</v>
      </c>
      <c r="D158">
        <v>16.5</v>
      </c>
      <c r="E158">
        <v>1</v>
      </c>
      <c r="F158">
        <v>32.5</v>
      </c>
      <c r="G158" t="s">
        <v>64</v>
      </c>
      <c r="H158" s="5">
        <v>0.42077546296296298</v>
      </c>
      <c r="I158" s="5">
        <v>0.42342592592592593</v>
      </c>
      <c r="J158" s="5" t="s">
        <v>79</v>
      </c>
      <c r="K158" t="s">
        <v>8</v>
      </c>
    </row>
    <row r="159" spans="1:11" x14ac:dyDescent="0.75">
      <c r="A159" s="1">
        <v>45834</v>
      </c>
      <c r="B159" s="1" t="s">
        <v>81</v>
      </c>
      <c r="C159" t="s">
        <v>82</v>
      </c>
      <c r="D159">
        <v>16.5</v>
      </c>
      <c r="E159">
        <v>1</v>
      </c>
      <c r="F159">
        <v>32.5</v>
      </c>
      <c r="G159" t="s">
        <v>64</v>
      </c>
      <c r="H159" s="5">
        <v>0.42077546296296298</v>
      </c>
      <c r="I159" s="5">
        <v>0.42388888888888887</v>
      </c>
      <c r="J159" s="5" t="s">
        <v>79</v>
      </c>
      <c r="K159" t="s">
        <v>8</v>
      </c>
    </row>
    <row r="160" spans="1:11" x14ac:dyDescent="0.75">
      <c r="A160" s="1">
        <v>45834</v>
      </c>
      <c r="B160" s="1" t="s">
        <v>81</v>
      </c>
      <c r="C160" t="s">
        <v>82</v>
      </c>
      <c r="D160">
        <v>16.5</v>
      </c>
      <c r="E160">
        <v>1</v>
      </c>
      <c r="F160">
        <v>32.5</v>
      </c>
      <c r="G160" t="s">
        <v>64</v>
      </c>
      <c r="H160" s="5">
        <v>0.42077546296296298</v>
      </c>
      <c r="I160" s="5">
        <v>0.42457175925925927</v>
      </c>
      <c r="J160" s="5" t="s">
        <v>79</v>
      </c>
      <c r="K160" t="s">
        <v>8</v>
      </c>
    </row>
    <row r="161" spans="1:11" x14ac:dyDescent="0.75">
      <c r="A161" s="1">
        <v>45834</v>
      </c>
      <c r="B161" s="1" t="s">
        <v>81</v>
      </c>
      <c r="C161" t="s">
        <v>82</v>
      </c>
      <c r="D161">
        <v>16.5</v>
      </c>
      <c r="E161">
        <v>1</v>
      </c>
      <c r="F161">
        <v>32.5</v>
      </c>
      <c r="G161" t="s">
        <v>64</v>
      </c>
      <c r="H161" s="5">
        <v>0.42077546296296298</v>
      </c>
      <c r="I161" s="5">
        <v>0.42505787037037035</v>
      </c>
      <c r="J161" s="5" t="s">
        <v>79</v>
      </c>
      <c r="K161" t="s">
        <v>8</v>
      </c>
    </row>
    <row r="162" spans="1:11" x14ac:dyDescent="0.75">
      <c r="A162" s="1">
        <v>45834</v>
      </c>
      <c r="B162" s="1" t="s">
        <v>81</v>
      </c>
      <c r="C162" t="s">
        <v>82</v>
      </c>
      <c r="D162">
        <v>16.5</v>
      </c>
      <c r="E162">
        <v>1</v>
      </c>
      <c r="F162">
        <v>32.5</v>
      </c>
      <c r="G162" t="s">
        <v>65</v>
      </c>
      <c r="H162" s="5">
        <v>0.42077546296296298</v>
      </c>
      <c r="I162" s="5">
        <v>0.42228009259259258</v>
      </c>
      <c r="J162" s="5" t="s">
        <v>79</v>
      </c>
      <c r="K162" t="s">
        <v>8</v>
      </c>
    </row>
    <row r="163" spans="1:11" x14ac:dyDescent="0.75">
      <c r="A163" s="1">
        <v>45834</v>
      </c>
      <c r="B163" s="1" t="s">
        <v>81</v>
      </c>
      <c r="C163" t="s">
        <v>82</v>
      </c>
      <c r="D163">
        <v>16.5</v>
      </c>
      <c r="E163">
        <v>1</v>
      </c>
      <c r="F163">
        <v>32.5</v>
      </c>
      <c r="G163" t="s">
        <v>65</v>
      </c>
      <c r="H163" s="5">
        <v>0.42077546296296298</v>
      </c>
      <c r="I163" s="5">
        <v>0.42407407407407405</v>
      </c>
      <c r="J163" s="5" t="s">
        <v>79</v>
      </c>
      <c r="K163" t="s">
        <v>8</v>
      </c>
    </row>
    <row r="164" spans="1:11" x14ac:dyDescent="0.75">
      <c r="A164" s="1">
        <v>45834</v>
      </c>
      <c r="B164" s="1" t="s">
        <v>81</v>
      </c>
      <c r="C164" t="s">
        <v>82</v>
      </c>
      <c r="D164">
        <v>16.5</v>
      </c>
      <c r="E164">
        <v>1</v>
      </c>
      <c r="F164">
        <v>32.5</v>
      </c>
      <c r="G164" t="s">
        <v>65</v>
      </c>
      <c r="H164" s="5">
        <v>0.42077546296296298</v>
      </c>
      <c r="I164" s="5">
        <v>0.42423611111111109</v>
      </c>
      <c r="J164" s="5" t="s">
        <v>79</v>
      </c>
      <c r="K164" t="s">
        <v>8</v>
      </c>
    </row>
    <row r="165" spans="1:11" x14ac:dyDescent="0.75">
      <c r="A165" s="1">
        <v>45834</v>
      </c>
      <c r="B165" s="1" t="s">
        <v>81</v>
      </c>
      <c r="C165" t="s">
        <v>82</v>
      </c>
      <c r="D165">
        <v>16.5</v>
      </c>
      <c r="E165">
        <v>1</v>
      </c>
      <c r="F165">
        <v>32.5</v>
      </c>
      <c r="G165" t="s">
        <v>65</v>
      </c>
      <c r="H165" s="5">
        <v>0.42077546296296298</v>
      </c>
      <c r="I165" s="5">
        <v>0.42623842592592592</v>
      </c>
      <c r="J165" s="5" t="s">
        <v>79</v>
      </c>
      <c r="K165" t="s">
        <v>8</v>
      </c>
    </row>
    <row r="166" spans="1:11" x14ac:dyDescent="0.75">
      <c r="A166" s="1">
        <v>45834</v>
      </c>
      <c r="B166" s="1" t="s">
        <v>81</v>
      </c>
      <c r="C166" t="s">
        <v>82</v>
      </c>
      <c r="D166">
        <v>16.5</v>
      </c>
      <c r="E166">
        <v>1</v>
      </c>
      <c r="F166">
        <v>32.5</v>
      </c>
      <c r="G166" t="s">
        <v>65</v>
      </c>
      <c r="H166" s="5">
        <v>0.42077546296296298</v>
      </c>
      <c r="I166" s="5">
        <v>0.42706018518518518</v>
      </c>
      <c r="J166" s="5" t="s">
        <v>79</v>
      </c>
      <c r="K166" t="s">
        <v>8</v>
      </c>
    </row>
    <row r="167" spans="1:11" x14ac:dyDescent="0.75">
      <c r="A167" s="1">
        <v>45834</v>
      </c>
      <c r="B167" s="1" t="s">
        <v>81</v>
      </c>
      <c r="C167" t="s">
        <v>82</v>
      </c>
      <c r="D167">
        <v>16.5</v>
      </c>
      <c r="E167">
        <v>2</v>
      </c>
      <c r="F167">
        <v>32.5</v>
      </c>
      <c r="G167" t="s">
        <v>67</v>
      </c>
      <c r="H167" s="5">
        <v>0.42077546296296298</v>
      </c>
      <c r="I167" s="5">
        <v>0.42162037037037037</v>
      </c>
      <c r="J167" s="5" t="s">
        <v>79</v>
      </c>
      <c r="K167" t="s">
        <v>8</v>
      </c>
    </row>
    <row r="168" spans="1:11" x14ac:dyDescent="0.75">
      <c r="A168" s="1">
        <v>45834</v>
      </c>
      <c r="B168" s="1" t="s">
        <v>81</v>
      </c>
      <c r="C168" t="s">
        <v>82</v>
      </c>
      <c r="D168">
        <v>16.5</v>
      </c>
      <c r="E168">
        <v>2</v>
      </c>
      <c r="F168">
        <v>32.5</v>
      </c>
      <c r="G168" t="s">
        <v>67</v>
      </c>
      <c r="H168" s="5">
        <v>0.42077546296296298</v>
      </c>
      <c r="I168" s="5">
        <v>0.42326388888888888</v>
      </c>
      <c r="J168" s="5" t="s">
        <v>79</v>
      </c>
      <c r="K168" t="s">
        <v>8</v>
      </c>
    </row>
    <row r="169" spans="1:11" x14ac:dyDescent="0.75">
      <c r="A169" s="1">
        <v>45834</v>
      </c>
      <c r="B169" s="1" t="s">
        <v>81</v>
      </c>
      <c r="C169" t="s">
        <v>82</v>
      </c>
      <c r="D169">
        <v>16.5</v>
      </c>
      <c r="E169">
        <v>2</v>
      </c>
      <c r="F169">
        <v>32.5</v>
      </c>
      <c r="G169" t="s">
        <v>67</v>
      </c>
      <c r="H169" s="5">
        <v>0.42077546296296298</v>
      </c>
      <c r="I169" s="5">
        <v>0.42609953703703701</v>
      </c>
      <c r="J169" s="5" t="s">
        <v>79</v>
      </c>
      <c r="K169" t="s">
        <v>8</v>
      </c>
    </row>
    <row r="170" spans="1:11" x14ac:dyDescent="0.75">
      <c r="A170" s="1">
        <v>45834</v>
      </c>
      <c r="B170" s="1" t="s">
        <v>81</v>
      </c>
      <c r="C170" t="s">
        <v>82</v>
      </c>
      <c r="D170">
        <v>16.5</v>
      </c>
      <c r="E170">
        <v>2</v>
      </c>
      <c r="F170">
        <v>32.5</v>
      </c>
      <c r="G170" t="s">
        <v>67</v>
      </c>
      <c r="H170" s="5">
        <v>0.42077546296296298</v>
      </c>
      <c r="I170" s="5">
        <v>0.42747685185185186</v>
      </c>
      <c r="J170" s="5" t="s">
        <v>79</v>
      </c>
      <c r="K170" t="s">
        <v>8</v>
      </c>
    </row>
    <row r="171" spans="1:11" x14ac:dyDescent="0.75">
      <c r="A171" s="1">
        <v>45834</v>
      </c>
      <c r="B171" s="1" t="s">
        <v>81</v>
      </c>
      <c r="C171" t="s">
        <v>82</v>
      </c>
      <c r="D171">
        <v>16.5</v>
      </c>
      <c r="E171">
        <v>2</v>
      </c>
      <c r="F171">
        <v>32.5</v>
      </c>
      <c r="G171" t="s">
        <v>67</v>
      </c>
      <c r="H171" s="5">
        <v>0.42077546296296298</v>
      </c>
      <c r="I171" s="5">
        <v>0.48125000000000001</v>
      </c>
      <c r="J171" s="5" t="s">
        <v>79</v>
      </c>
      <c r="K171" t="s">
        <v>8</v>
      </c>
    </row>
    <row r="172" spans="1:11" x14ac:dyDescent="0.75">
      <c r="A172" s="1">
        <v>45834</v>
      </c>
      <c r="B172" s="1" t="s">
        <v>81</v>
      </c>
      <c r="C172" t="s">
        <v>82</v>
      </c>
      <c r="D172">
        <v>16.5</v>
      </c>
      <c r="E172">
        <v>2</v>
      </c>
      <c r="F172">
        <v>32.5</v>
      </c>
      <c r="G172" t="s">
        <v>69</v>
      </c>
      <c r="H172" s="5">
        <v>0.42077546296296298</v>
      </c>
      <c r="I172" s="5">
        <v>0.42237268518518517</v>
      </c>
      <c r="J172" s="5" t="s">
        <v>79</v>
      </c>
      <c r="K172" t="s">
        <v>8</v>
      </c>
    </row>
    <row r="173" spans="1:11" x14ac:dyDescent="0.75">
      <c r="A173" s="1">
        <v>45834</v>
      </c>
      <c r="B173" s="1" t="s">
        <v>81</v>
      </c>
      <c r="C173" t="s">
        <v>82</v>
      </c>
      <c r="D173">
        <v>16.5</v>
      </c>
      <c r="E173">
        <v>2</v>
      </c>
      <c r="F173">
        <v>32.5</v>
      </c>
      <c r="G173" t="s">
        <v>69</v>
      </c>
      <c r="H173" s="5">
        <v>0.42077546296296298</v>
      </c>
      <c r="I173" s="5">
        <v>0.42298611111111112</v>
      </c>
      <c r="J173" s="5" t="s">
        <v>79</v>
      </c>
      <c r="K173" t="s">
        <v>8</v>
      </c>
    </row>
    <row r="174" spans="1:11" x14ac:dyDescent="0.75">
      <c r="A174" s="1">
        <v>45834</v>
      </c>
      <c r="B174" s="1" t="s">
        <v>81</v>
      </c>
      <c r="C174" t="s">
        <v>82</v>
      </c>
      <c r="D174">
        <v>16.5</v>
      </c>
      <c r="E174">
        <v>2</v>
      </c>
      <c r="F174">
        <v>32.5</v>
      </c>
      <c r="G174" t="s">
        <v>69</v>
      </c>
      <c r="H174" s="5">
        <v>0.42077546296296298</v>
      </c>
      <c r="I174" s="5">
        <v>0.4334027777777778</v>
      </c>
      <c r="J174" s="5" t="s">
        <v>79</v>
      </c>
      <c r="K174" t="s">
        <v>8</v>
      </c>
    </row>
    <row r="175" spans="1:11" x14ac:dyDescent="0.75">
      <c r="A175" s="1">
        <v>45834</v>
      </c>
      <c r="B175" s="1" t="s">
        <v>81</v>
      </c>
      <c r="C175" t="s">
        <v>82</v>
      </c>
      <c r="D175">
        <v>16.5</v>
      </c>
      <c r="E175">
        <v>2</v>
      </c>
      <c r="F175">
        <v>32.5</v>
      </c>
      <c r="G175" t="s">
        <v>69</v>
      </c>
      <c r="H175" s="5">
        <v>0.42077546296296298</v>
      </c>
      <c r="I175" s="5">
        <v>0.46190972222222221</v>
      </c>
      <c r="J175" s="5" t="s">
        <v>79</v>
      </c>
      <c r="K175" t="s">
        <v>84</v>
      </c>
    </row>
    <row r="176" spans="1:11" x14ac:dyDescent="0.75">
      <c r="A176" s="1">
        <v>45834</v>
      </c>
      <c r="B176" s="1" t="s">
        <v>81</v>
      </c>
      <c r="C176" t="s">
        <v>82</v>
      </c>
      <c r="D176">
        <v>16.5</v>
      </c>
      <c r="E176">
        <v>2</v>
      </c>
      <c r="F176">
        <v>32.5</v>
      </c>
      <c r="G176" t="s">
        <v>69</v>
      </c>
      <c r="H176" s="5">
        <v>0.42077546296296298</v>
      </c>
      <c r="I176" s="5">
        <v>0.46655092592592595</v>
      </c>
      <c r="J176" s="5" t="s">
        <v>79</v>
      </c>
      <c r="K176" t="s">
        <v>8</v>
      </c>
    </row>
    <row r="177" spans="1:11" x14ac:dyDescent="0.75">
      <c r="A177" s="1">
        <v>45834</v>
      </c>
      <c r="B177" s="1" t="s">
        <v>81</v>
      </c>
      <c r="C177" t="s">
        <v>82</v>
      </c>
      <c r="D177">
        <v>16.5</v>
      </c>
      <c r="E177">
        <v>2</v>
      </c>
      <c r="F177">
        <v>32.5</v>
      </c>
      <c r="G177" t="s">
        <v>70</v>
      </c>
      <c r="H177" s="5">
        <v>0.42077546296296298</v>
      </c>
      <c r="I177" s="5">
        <v>0.42206018518518518</v>
      </c>
      <c r="J177" s="5" t="s">
        <v>79</v>
      </c>
      <c r="K177" t="s">
        <v>8</v>
      </c>
    </row>
    <row r="178" spans="1:11" x14ac:dyDescent="0.75">
      <c r="A178" s="1">
        <v>45834</v>
      </c>
      <c r="B178" s="1" t="s">
        <v>81</v>
      </c>
      <c r="C178" t="s">
        <v>82</v>
      </c>
      <c r="D178">
        <v>16.5</v>
      </c>
      <c r="E178">
        <v>2</v>
      </c>
      <c r="F178">
        <v>32.5</v>
      </c>
      <c r="G178" t="s">
        <v>70</v>
      </c>
      <c r="H178" s="5">
        <v>0.42077546296296298</v>
      </c>
      <c r="I178" s="5">
        <v>0.42395833333333333</v>
      </c>
      <c r="J178" s="5" t="s">
        <v>79</v>
      </c>
      <c r="K178" t="s">
        <v>8</v>
      </c>
    </row>
    <row r="179" spans="1:11" x14ac:dyDescent="0.75">
      <c r="A179" s="1">
        <v>45834</v>
      </c>
      <c r="B179" s="1" t="s">
        <v>81</v>
      </c>
      <c r="C179" t="s">
        <v>82</v>
      </c>
      <c r="D179">
        <v>16.5</v>
      </c>
      <c r="E179">
        <v>2</v>
      </c>
      <c r="F179">
        <v>32.5</v>
      </c>
      <c r="G179" t="s">
        <v>70</v>
      </c>
      <c r="H179" s="5">
        <v>0.42077546296296298</v>
      </c>
      <c r="I179" s="5">
        <v>0.42498842592592595</v>
      </c>
      <c r="J179" s="5" t="s">
        <v>79</v>
      </c>
      <c r="K179" t="s">
        <v>8</v>
      </c>
    </row>
    <row r="180" spans="1:11" x14ac:dyDescent="0.75">
      <c r="A180" s="1">
        <v>45834</v>
      </c>
      <c r="B180" s="1" t="s">
        <v>81</v>
      </c>
      <c r="C180" t="s">
        <v>82</v>
      </c>
      <c r="D180">
        <v>16.5</v>
      </c>
      <c r="E180">
        <v>2</v>
      </c>
      <c r="F180">
        <v>32.5</v>
      </c>
      <c r="G180" t="s">
        <v>70</v>
      </c>
      <c r="H180" s="5">
        <v>0.42077546296296298</v>
      </c>
      <c r="I180" s="5">
        <v>0.44362268518518516</v>
      </c>
      <c r="J180" s="5" t="s">
        <v>79</v>
      </c>
      <c r="K180" t="s">
        <v>8</v>
      </c>
    </row>
    <row r="181" spans="1:11" x14ac:dyDescent="0.75">
      <c r="A181" s="1">
        <v>45834</v>
      </c>
      <c r="B181" s="1" t="s">
        <v>81</v>
      </c>
      <c r="C181" t="s">
        <v>82</v>
      </c>
      <c r="D181">
        <v>16.5</v>
      </c>
      <c r="E181">
        <v>2</v>
      </c>
      <c r="F181">
        <v>32.5</v>
      </c>
      <c r="G181" t="s">
        <v>70</v>
      </c>
      <c r="H181" s="5">
        <v>0.42077546296296298</v>
      </c>
      <c r="I181" s="5">
        <v>0.48284722222222221</v>
      </c>
      <c r="J181" s="5" t="s">
        <v>79</v>
      </c>
      <c r="K181" t="s">
        <v>8</v>
      </c>
    </row>
    <row r="182" spans="1:11" x14ac:dyDescent="0.75">
      <c r="A182" s="1">
        <v>45834</v>
      </c>
      <c r="B182" s="1" t="s">
        <v>81</v>
      </c>
      <c r="C182" t="s">
        <v>87</v>
      </c>
      <c r="D182">
        <v>16.5</v>
      </c>
      <c r="E182">
        <v>6</v>
      </c>
      <c r="F182">
        <v>32.5</v>
      </c>
      <c r="G182" t="s">
        <v>88</v>
      </c>
      <c r="H182" s="5">
        <v>0.78509259259259256</v>
      </c>
      <c r="I182" s="5">
        <v>0.78781250000000003</v>
      </c>
      <c r="J182" s="5" t="s">
        <v>79</v>
      </c>
      <c r="K182" t="s">
        <v>8</v>
      </c>
    </row>
    <row r="183" spans="1:11" x14ac:dyDescent="0.75">
      <c r="A183" s="1">
        <v>45834</v>
      </c>
      <c r="B183" s="1" t="s">
        <v>81</v>
      </c>
      <c r="C183" t="s">
        <v>87</v>
      </c>
      <c r="D183">
        <v>16.5</v>
      </c>
      <c r="E183">
        <v>6</v>
      </c>
      <c r="F183">
        <v>32.5</v>
      </c>
      <c r="G183" t="s">
        <v>88</v>
      </c>
      <c r="H183" s="5">
        <v>0.78509259259259256</v>
      </c>
      <c r="I183" s="5">
        <v>0.78806712962962966</v>
      </c>
      <c r="J183" s="5" t="s">
        <v>79</v>
      </c>
      <c r="K183" t="s">
        <v>8</v>
      </c>
    </row>
    <row r="184" spans="1:11" x14ac:dyDescent="0.75">
      <c r="A184" s="1">
        <v>45834</v>
      </c>
      <c r="B184" s="1" t="s">
        <v>81</v>
      </c>
      <c r="C184" t="s">
        <v>87</v>
      </c>
      <c r="D184">
        <v>16.5</v>
      </c>
      <c r="E184">
        <v>6</v>
      </c>
      <c r="F184">
        <v>32.5</v>
      </c>
      <c r="G184" t="s">
        <v>88</v>
      </c>
      <c r="H184" s="5">
        <v>0.78509259259259301</v>
      </c>
      <c r="I184" s="5">
        <v>0.79090277777777773</v>
      </c>
      <c r="J184" s="5" t="s">
        <v>79</v>
      </c>
      <c r="K184" t="s">
        <v>8</v>
      </c>
    </row>
    <row r="185" spans="1:11" x14ac:dyDescent="0.75">
      <c r="A185" s="1">
        <v>45834</v>
      </c>
      <c r="B185" s="1" t="s">
        <v>81</v>
      </c>
      <c r="C185" t="s">
        <v>87</v>
      </c>
      <c r="D185">
        <v>16.5</v>
      </c>
      <c r="E185">
        <v>6</v>
      </c>
      <c r="F185">
        <v>32.5</v>
      </c>
      <c r="G185" t="s">
        <v>88</v>
      </c>
      <c r="H185" s="5">
        <v>0.78509259259259301</v>
      </c>
      <c r="I185" s="5">
        <v>0.79156249999999995</v>
      </c>
      <c r="J185" s="5" t="s">
        <v>79</v>
      </c>
      <c r="K185" t="s">
        <v>8</v>
      </c>
    </row>
    <row r="186" spans="1:11" x14ac:dyDescent="0.75">
      <c r="A186" s="1">
        <v>45834</v>
      </c>
      <c r="B186" s="1" t="s">
        <v>81</v>
      </c>
      <c r="C186" t="s">
        <v>87</v>
      </c>
      <c r="D186">
        <v>16.5</v>
      </c>
      <c r="E186">
        <v>6</v>
      </c>
      <c r="F186">
        <v>32.5</v>
      </c>
      <c r="G186" t="s">
        <v>88</v>
      </c>
      <c r="H186" s="5">
        <v>0.78509259259259301</v>
      </c>
      <c r="I186" s="5">
        <v>0.79347222222222225</v>
      </c>
      <c r="J186" s="5" t="s">
        <v>79</v>
      </c>
      <c r="K186" t="s">
        <v>8</v>
      </c>
    </row>
    <row r="187" spans="1:11" x14ac:dyDescent="0.75">
      <c r="A187" s="1">
        <v>45834</v>
      </c>
      <c r="B187" s="1" t="s">
        <v>81</v>
      </c>
      <c r="C187" t="s">
        <v>87</v>
      </c>
      <c r="D187">
        <v>16.5</v>
      </c>
      <c r="E187">
        <v>6</v>
      </c>
      <c r="F187">
        <v>32.5</v>
      </c>
      <c r="G187" t="s">
        <v>89</v>
      </c>
      <c r="H187" s="5">
        <v>0.78509259259259301</v>
      </c>
      <c r="I187" s="5">
        <v>0.78766203703703708</v>
      </c>
      <c r="J187" s="5" t="s">
        <v>79</v>
      </c>
      <c r="K187" t="s">
        <v>8</v>
      </c>
    </row>
    <row r="188" spans="1:11" x14ac:dyDescent="0.75">
      <c r="A188" s="1">
        <v>45834</v>
      </c>
      <c r="B188" s="1" t="s">
        <v>81</v>
      </c>
      <c r="C188" t="s">
        <v>87</v>
      </c>
      <c r="D188">
        <v>16.5</v>
      </c>
      <c r="E188">
        <v>6</v>
      </c>
      <c r="F188">
        <v>32.5</v>
      </c>
      <c r="G188" t="s">
        <v>89</v>
      </c>
      <c r="H188" s="5">
        <v>0.78509259259259301</v>
      </c>
      <c r="I188" s="5">
        <v>0.78812499999999996</v>
      </c>
      <c r="J188" s="5" t="s">
        <v>79</v>
      </c>
      <c r="K188" t="s">
        <v>8</v>
      </c>
    </row>
    <row r="189" spans="1:11" x14ac:dyDescent="0.75">
      <c r="A189" s="1">
        <v>45834</v>
      </c>
      <c r="B189" s="1" t="s">
        <v>81</v>
      </c>
      <c r="C189" t="s">
        <v>87</v>
      </c>
      <c r="D189">
        <v>16.5</v>
      </c>
      <c r="E189">
        <v>6</v>
      </c>
      <c r="F189">
        <v>32.5</v>
      </c>
      <c r="G189" t="s">
        <v>89</v>
      </c>
      <c r="H189" s="5">
        <v>0.78509259259259301</v>
      </c>
      <c r="I189" s="5">
        <v>0.78890046296296301</v>
      </c>
      <c r="J189" s="5" t="s">
        <v>79</v>
      </c>
      <c r="K189" t="s">
        <v>8</v>
      </c>
    </row>
    <row r="190" spans="1:11" x14ac:dyDescent="0.75">
      <c r="A190" s="1">
        <v>45834</v>
      </c>
      <c r="B190" s="1" t="s">
        <v>81</v>
      </c>
      <c r="C190" t="s">
        <v>87</v>
      </c>
      <c r="D190">
        <v>16.5</v>
      </c>
      <c r="E190">
        <v>6</v>
      </c>
      <c r="F190">
        <v>32.5</v>
      </c>
      <c r="G190" t="s">
        <v>89</v>
      </c>
      <c r="H190" s="5">
        <v>0.78509259259259301</v>
      </c>
      <c r="I190" s="5">
        <v>0.78971064814814818</v>
      </c>
      <c r="J190" s="5" t="s">
        <v>79</v>
      </c>
      <c r="K190" t="s">
        <v>8</v>
      </c>
    </row>
    <row r="191" spans="1:11" x14ac:dyDescent="0.75">
      <c r="A191" s="1">
        <v>45834</v>
      </c>
      <c r="B191" s="1" t="s">
        <v>81</v>
      </c>
      <c r="C191" t="s">
        <v>87</v>
      </c>
      <c r="D191">
        <v>16.5</v>
      </c>
      <c r="E191">
        <v>6</v>
      </c>
      <c r="F191">
        <v>32.5</v>
      </c>
      <c r="G191" t="s">
        <v>89</v>
      </c>
      <c r="H191" s="5">
        <v>0.78509259259259301</v>
      </c>
      <c r="I191" s="5">
        <v>0.79245370370370372</v>
      </c>
      <c r="J191" s="5" t="s">
        <v>79</v>
      </c>
      <c r="K191" t="s">
        <v>8</v>
      </c>
    </row>
    <row r="192" spans="1:11" x14ac:dyDescent="0.75">
      <c r="A192" s="1">
        <v>45834</v>
      </c>
      <c r="B192" s="1" t="s">
        <v>81</v>
      </c>
      <c r="C192" t="s">
        <v>87</v>
      </c>
      <c r="D192">
        <v>16.5</v>
      </c>
      <c r="E192">
        <v>6</v>
      </c>
      <c r="F192">
        <v>32.5</v>
      </c>
      <c r="G192" t="s">
        <v>90</v>
      </c>
      <c r="H192" s="5">
        <v>0.78509259259259301</v>
      </c>
      <c r="I192" s="5">
        <v>0.78568287037037032</v>
      </c>
      <c r="J192" s="5" t="s">
        <v>79</v>
      </c>
      <c r="K192" t="s">
        <v>8</v>
      </c>
    </row>
    <row r="193" spans="1:11" x14ac:dyDescent="0.75">
      <c r="A193" s="1">
        <v>45834</v>
      </c>
      <c r="B193" s="1" t="s">
        <v>81</v>
      </c>
      <c r="C193" t="s">
        <v>87</v>
      </c>
      <c r="D193">
        <v>16.5</v>
      </c>
      <c r="E193">
        <v>6</v>
      </c>
      <c r="F193">
        <v>32.5</v>
      </c>
      <c r="G193" t="s">
        <v>90</v>
      </c>
      <c r="H193" s="5">
        <v>0.78509259259259301</v>
      </c>
      <c r="I193" s="5">
        <v>0.78635416666666669</v>
      </c>
      <c r="J193" s="5" t="s">
        <v>79</v>
      </c>
      <c r="K193" t="s">
        <v>8</v>
      </c>
    </row>
    <row r="194" spans="1:11" x14ac:dyDescent="0.75">
      <c r="A194" s="1">
        <v>45834</v>
      </c>
      <c r="B194" s="1" t="s">
        <v>81</v>
      </c>
      <c r="C194" t="s">
        <v>87</v>
      </c>
      <c r="D194">
        <v>16.5</v>
      </c>
      <c r="E194">
        <v>6</v>
      </c>
      <c r="F194">
        <v>32.5</v>
      </c>
      <c r="G194" t="s">
        <v>90</v>
      </c>
      <c r="H194" s="5">
        <v>0.78509259259259301</v>
      </c>
      <c r="I194" s="5">
        <v>0.7873148148148148</v>
      </c>
      <c r="J194" s="5" t="s">
        <v>79</v>
      </c>
      <c r="K194" t="s">
        <v>8</v>
      </c>
    </row>
    <row r="195" spans="1:11" x14ac:dyDescent="0.75">
      <c r="A195" s="1">
        <v>45834</v>
      </c>
      <c r="B195" s="1" t="s">
        <v>81</v>
      </c>
      <c r="C195" t="s">
        <v>87</v>
      </c>
      <c r="D195">
        <v>16.5</v>
      </c>
      <c r="E195">
        <v>6</v>
      </c>
      <c r="F195">
        <v>32.5</v>
      </c>
      <c r="G195" t="s">
        <v>90</v>
      </c>
      <c r="H195" s="5">
        <v>0.78509259259259301</v>
      </c>
      <c r="I195" s="5">
        <v>0.78932870370370367</v>
      </c>
      <c r="J195" s="5" t="s">
        <v>79</v>
      </c>
      <c r="K195" t="s">
        <v>8</v>
      </c>
    </row>
    <row r="196" spans="1:11" x14ac:dyDescent="0.75">
      <c r="A196" s="1">
        <v>45834</v>
      </c>
      <c r="B196" s="1" t="s">
        <v>81</v>
      </c>
      <c r="C196" t="s">
        <v>87</v>
      </c>
      <c r="D196">
        <v>16.5</v>
      </c>
      <c r="E196">
        <v>6</v>
      </c>
      <c r="F196">
        <v>32.5</v>
      </c>
      <c r="G196" t="s">
        <v>90</v>
      </c>
      <c r="H196" s="5">
        <v>0.78509259259259301</v>
      </c>
      <c r="I196" s="5">
        <v>0.79048611111111111</v>
      </c>
      <c r="J196" s="5" t="s">
        <v>79</v>
      </c>
      <c r="K196" t="s">
        <v>8</v>
      </c>
    </row>
    <row r="197" spans="1:11" x14ac:dyDescent="0.75">
      <c r="A197" s="1">
        <v>45837</v>
      </c>
      <c r="B197" s="1" t="s">
        <v>91</v>
      </c>
      <c r="C197" t="s">
        <v>103</v>
      </c>
      <c r="D197">
        <v>16.7</v>
      </c>
      <c r="E197">
        <v>1</v>
      </c>
      <c r="F197">
        <v>31</v>
      </c>
      <c r="G197" t="s">
        <v>63</v>
      </c>
      <c r="H197" s="5">
        <v>0.41899305555555555</v>
      </c>
      <c r="I197" s="5">
        <v>0.44571759259259258</v>
      </c>
      <c r="J197" s="5" t="s">
        <v>79</v>
      </c>
      <c r="K197" t="s">
        <v>8</v>
      </c>
    </row>
    <row r="198" spans="1:11" x14ac:dyDescent="0.75">
      <c r="A198" s="1">
        <v>45837</v>
      </c>
      <c r="B198" s="1" t="s">
        <v>91</v>
      </c>
      <c r="C198" t="s">
        <v>103</v>
      </c>
      <c r="D198">
        <v>16.7</v>
      </c>
      <c r="E198">
        <v>1</v>
      </c>
      <c r="F198">
        <v>31</v>
      </c>
      <c r="G198" t="s">
        <v>63</v>
      </c>
      <c r="H198" s="5">
        <v>0.41899305555555555</v>
      </c>
      <c r="I198" s="5">
        <v>0.4528935185185185</v>
      </c>
      <c r="J198" s="5" t="s">
        <v>79</v>
      </c>
      <c r="K198" t="s">
        <v>8</v>
      </c>
    </row>
    <row r="199" spans="1:11" x14ac:dyDescent="0.75">
      <c r="A199" s="1">
        <v>45837</v>
      </c>
      <c r="B199" s="1" t="s">
        <v>91</v>
      </c>
      <c r="C199" t="s">
        <v>103</v>
      </c>
      <c r="D199">
        <v>16.7</v>
      </c>
      <c r="E199">
        <v>1</v>
      </c>
      <c r="F199">
        <v>31</v>
      </c>
      <c r="G199" t="s">
        <v>63</v>
      </c>
      <c r="H199" s="5">
        <v>0.41899305555555555</v>
      </c>
      <c r="I199" s="5">
        <v>0.47399305555555554</v>
      </c>
      <c r="J199" s="5" t="s">
        <v>79</v>
      </c>
      <c r="K199" t="s">
        <v>8</v>
      </c>
    </row>
    <row r="200" spans="1:11" x14ac:dyDescent="0.75">
      <c r="A200" s="1">
        <v>45837</v>
      </c>
      <c r="B200" s="1" t="s">
        <v>91</v>
      </c>
      <c r="C200" t="s">
        <v>103</v>
      </c>
      <c r="D200">
        <v>16.7</v>
      </c>
      <c r="E200">
        <v>1</v>
      </c>
      <c r="F200">
        <v>31</v>
      </c>
      <c r="G200" t="s">
        <v>63</v>
      </c>
      <c r="H200" s="5">
        <v>0.41899305555555555</v>
      </c>
      <c r="I200" s="5">
        <v>0.4801273148148148</v>
      </c>
      <c r="J200" s="5" t="s">
        <v>79</v>
      </c>
      <c r="K200" t="s">
        <v>8</v>
      </c>
    </row>
    <row r="201" spans="1:11" x14ac:dyDescent="0.75">
      <c r="A201" s="1">
        <v>45837</v>
      </c>
      <c r="B201" s="1" t="s">
        <v>91</v>
      </c>
      <c r="C201" t="s">
        <v>103</v>
      </c>
      <c r="D201">
        <v>16.7</v>
      </c>
      <c r="E201">
        <v>1</v>
      </c>
      <c r="F201">
        <v>31</v>
      </c>
      <c r="G201" t="s">
        <v>63</v>
      </c>
      <c r="H201" s="5">
        <v>0.41899305555555555</v>
      </c>
      <c r="I201" s="5">
        <v>0.5770601851851852</v>
      </c>
      <c r="J201" s="5" t="s">
        <v>79</v>
      </c>
      <c r="K201" t="s">
        <v>8</v>
      </c>
    </row>
    <row r="202" spans="1:11" x14ac:dyDescent="0.75">
      <c r="A202" s="1">
        <v>45837</v>
      </c>
      <c r="B202" s="1" t="s">
        <v>91</v>
      </c>
      <c r="C202" t="s">
        <v>103</v>
      </c>
      <c r="D202">
        <v>16.7</v>
      </c>
      <c r="E202">
        <v>1</v>
      </c>
      <c r="F202">
        <v>31</v>
      </c>
      <c r="G202" t="s">
        <v>64</v>
      </c>
      <c r="H202" s="5">
        <v>0.41899305555555599</v>
      </c>
      <c r="I202" s="5">
        <v>0.44369212962962962</v>
      </c>
      <c r="J202" s="5" t="s">
        <v>79</v>
      </c>
      <c r="K202" t="s">
        <v>8</v>
      </c>
    </row>
    <row r="203" spans="1:11" x14ac:dyDescent="0.75">
      <c r="A203" s="1">
        <v>45837</v>
      </c>
      <c r="B203" s="1" t="s">
        <v>91</v>
      </c>
      <c r="C203" t="s">
        <v>103</v>
      </c>
      <c r="D203">
        <v>16.7</v>
      </c>
      <c r="E203">
        <v>1</v>
      </c>
      <c r="F203">
        <v>31</v>
      </c>
      <c r="G203" t="s">
        <v>64</v>
      </c>
      <c r="H203" s="5">
        <v>0.41899305555555599</v>
      </c>
      <c r="I203" s="5">
        <v>0.52246527777777774</v>
      </c>
      <c r="J203" s="5" t="s">
        <v>79</v>
      </c>
      <c r="K203" t="s">
        <v>8</v>
      </c>
    </row>
    <row r="204" spans="1:11" x14ac:dyDescent="0.75">
      <c r="A204" s="1">
        <v>45837</v>
      </c>
      <c r="B204" s="1" t="s">
        <v>91</v>
      </c>
      <c r="C204" t="s">
        <v>103</v>
      </c>
      <c r="D204">
        <v>16.7</v>
      </c>
      <c r="E204">
        <v>1</v>
      </c>
      <c r="F204">
        <v>31</v>
      </c>
      <c r="G204" t="s">
        <v>64</v>
      </c>
      <c r="H204" s="5">
        <v>0.41899305555555599</v>
      </c>
      <c r="I204" s="5">
        <v>0.53993055555555558</v>
      </c>
      <c r="J204" s="5" t="s">
        <v>79</v>
      </c>
      <c r="K204" t="s">
        <v>8</v>
      </c>
    </row>
    <row r="205" spans="1:11" x14ac:dyDescent="0.75">
      <c r="A205" s="1">
        <v>45837</v>
      </c>
      <c r="B205" s="1" t="s">
        <v>91</v>
      </c>
      <c r="C205" t="s">
        <v>103</v>
      </c>
      <c r="D205">
        <v>16.7</v>
      </c>
      <c r="E205">
        <v>1</v>
      </c>
      <c r="F205">
        <v>31</v>
      </c>
      <c r="G205" t="s">
        <v>64</v>
      </c>
      <c r="H205" s="5">
        <v>0.41899305555555599</v>
      </c>
      <c r="I205" s="5">
        <v>0.54037037037037039</v>
      </c>
      <c r="J205" s="5" t="s">
        <v>79</v>
      </c>
      <c r="K205" t="s">
        <v>8</v>
      </c>
    </row>
    <row r="206" spans="1:11" x14ac:dyDescent="0.75">
      <c r="A206" s="1">
        <v>45837</v>
      </c>
      <c r="B206" s="1" t="s">
        <v>91</v>
      </c>
      <c r="C206" t="s">
        <v>103</v>
      </c>
      <c r="D206">
        <v>16.7</v>
      </c>
      <c r="E206">
        <v>1</v>
      </c>
      <c r="F206">
        <v>31</v>
      </c>
      <c r="G206" t="s">
        <v>64</v>
      </c>
      <c r="H206" s="5">
        <v>0.41899305555555599</v>
      </c>
      <c r="I206" s="5">
        <v>0.54071759259259256</v>
      </c>
      <c r="J206" s="5" t="s">
        <v>79</v>
      </c>
      <c r="K206" t="s">
        <v>8</v>
      </c>
    </row>
    <row r="207" spans="1:11" x14ac:dyDescent="0.75">
      <c r="A207" s="1">
        <v>45837</v>
      </c>
      <c r="B207" s="1" t="s">
        <v>91</v>
      </c>
      <c r="C207" t="s">
        <v>103</v>
      </c>
      <c r="D207">
        <v>16.7</v>
      </c>
      <c r="E207">
        <v>1</v>
      </c>
      <c r="F207">
        <v>31</v>
      </c>
      <c r="G207" t="s">
        <v>65</v>
      </c>
      <c r="H207" s="5">
        <v>0.41899305555555599</v>
      </c>
      <c r="I207" s="5">
        <v>0.47050925925925924</v>
      </c>
      <c r="J207" s="5" t="s">
        <v>79</v>
      </c>
      <c r="K207" t="s">
        <v>8</v>
      </c>
    </row>
    <row r="208" spans="1:11" x14ac:dyDescent="0.75">
      <c r="A208" s="1">
        <v>45837</v>
      </c>
      <c r="B208" s="1" t="s">
        <v>91</v>
      </c>
      <c r="C208" t="s">
        <v>103</v>
      </c>
      <c r="D208">
        <v>16.7</v>
      </c>
      <c r="E208">
        <v>1</v>
      </c>
      <c r="F208">
        <v>31</v>
      </c>
      <c r="G208" t="s">
        <v>65</v>
      </c>
      <c r="H208" s="5">
        <v>0.41899305555555599</v>
      </c>
      <c r="I208" s="5">
        <v>0.48395833333333332</v>
      </c>
      <c r="J208" s="5" t="s">
        <v>79</v>
      </c>
      <c r="K208" t="s">
        <v>8</v>
      </c>
    </row>
    <row r="209" spans="1:11" x14ac:dyDescent="0.75">
      <c r="A209" s="1">
        <v>45837</v>
      </c>
      <c r="B209" s="1" t="s">
        <v>91</v>
      </c>
      <c r="C209" t="s">
        <v>103</v>
      </c>
      <c r="D209">
        <v>16.7</v>
      </c>
      <c r="E209">
        <v>1</v>
      </c>
      <c r="F209">
        <v>31</v>
      </c>
      <c r="G209" t="s">
        <v>65</v>
      </c>
      <c r="H209" s="5">
        <v>0.41899305555555599</v>
      </c>
      <c r="I209" s="5">
        <v>0.49432870370370369</v>
      </c>
      <c r="J209" s="5" t="s">
        <v>79</v>
      </c>
      <c r="K209" t="s">
        <v>8</v>
      </c>
    </row>
    <row r="210" spans="1:11" x14ac:dyDescent="0.75">
      <c r="A210" s="1">
        <v>45837</v>
      </c>
      <c r="B210" s="1" t="s">
        <v>91</v>
      </c>
      <c r="C210" t="s">
        <v>103</v>
      </c>
      <c r="D210">
        <v>16.7</v>
      </c>
      <c r="E210">
        <v>1</v>
      </c>
      <c r="F210">
        <v>31</v>
      </c>
      <c r="G210" t="s">
        <v>65</v>
      </c>
      <c r="H210" s="5">
        <v>0.41899305555555599</v>
      </c>
      <c r="I210" s="5">
        <v>0.54278935185185184</v>
      </c>
      <c r="J210" s="5" t="s">
        <v>79</v>
      </c>
      <c r="K210" t="s">
        <v>8</v>
      </c>
    </row>
    <row r="211" spans="1:11" x14ac:dyDescent="0.75">
      <c r="A211" s="1">
        <v>45837</v>
      </c>
      <c r="B211" s="1" t="s">
        <v>91</v>
      </c>
      <c r="C211" t="s">
        <v>103</v>
      </c>
      <c r="D211">
        <v>16.7</v>
      </c>
      <c r="E211">
        <v>1</v>
      </c>
      <c r="F211">
        <v>31</v>
      </c>
      <c r="G211" t="s">
        <v>65</v>
      </c>
      <c r="H211" s="5">
        <v>0.41899305555555599</v>
      </c>
      <c r="I211" s="5">
        <v>0.5649305555555556</v>
      </c>
      <c r="J211" s="5" t="s">
        <v>79</v>
      </c>
      <c r="K211" t="s">
        <v>8</v>
      </c>
    </row>
    <row r="212" spans="1:11" x14ac:dyDescent="0.75">
      <c r="A212" s="1">
        <v>45837</v>
      </c>
      <c r="B212" s="1" t="s">
        <v>91</v>
      </c>
      <c r="C212" t="s">
        <v>103</v>
      </c>
      <c r="D212">
        <v>16.7</v>
      </c>
      <c r="E212">
        <v>2</v>
      </c>
      <c r="F212">
        <v>31</v>
      </c>
      <c r="G212" t="s">
        <v>67</v>
      </c>
      <c r="H212" s="5">
        <v>0.41899305555555599</v>
      </c>
      <c r="I212" s="5">
        <v>0.44090277777777775</v>
      </c>
      <c r="J212" s="5" t="s">
        <v>79</v>
      </c>
      <c r="K212" t="s">
        <v>8</v>
      </c>
    </row>
    <row r="213" spans="1:11" x14ac:dyDescent="0.75">
      <c r="A213" s="1">
        <v>45837</v>
      </c>
      <c r="B213" s="1" t="s">
        <v>91</v>
      </c>
      <c r="C213" t="s">
        <v>103</v>
      </c>
      <c r="D213">
        <v>16.7</v>
      </c>
      <c r="E213">
        <v>2</v>
      </c>
      <c r="F213">
        <v>31</v>
      </c>
      <c r="G213" t="s">
        <v>67</v>
      </c>
      <c r="H213" s="5">
        <v>0.41899305555555599</v>
      </c>
      <c r="I213" s="5">
        <v>0.44916666666666666</v>
      </c>
      <c r="J213" s="5" t="s">
        <v>79</v>
      </c>
      <c r="K213" t="s">
        <v>8</v>
      </c>
    </row>
    <row r="214" spans="1:11" x14ac:dyDescent="0.75">
      <c r="A214" s="1">
        <v>45837</v>
      </c>
      <c r="B214" s="1" t="s">
        <v>91</v>
      </c>
      <c r="C214" t="s">
        <v>103</v>
      </c>
      <c r="D214">
        <v>16.7</v>
      </c>
      <c r="E214">
        <v>2</v>
      </c>
      <c r="F214">
        <v>31</v>
      </c>
      <c r="G214" t="s">
        <v>67</v>
      </c>
      <c r="H214" s="5">
        <v>0.41899305555555599</v>
      </c>
      <c r="I214" s="5">
        <v>0.48127314814814814</v>
      </c>
      <c r="J214" s="5" t="s">
        <v>79</v>
      </c>
      <c r="K214" t="s">
        <v>8</v>
      </c>
    </row>
    <row r="215" spans="1:11" x14ac:dyDescent="0.75">
      <c r="A215" s="1">
        <v>45837</v>
      </c>
      <c r="B215" s="1" t="s">
        <v>91</v>
      </c>
      <c r="C215" t="s">
        <v>103</v>
      </c>
      <c r="D215">
        <v>16.7</v>
      </c>
      <c r="E215">
        <v>2</v>
      </c>
      <c r="F215">
        <v>31</v>
      </c>
      <c r="G215" t="s">
        <v>67</v>
      </c>
      <c r="H215" s="5">
        <v>0.41899305555555599</v>
      </c>
      <c r="I215" s="5">
        <v>0.4992361111111111</v>
      </c>
      <c r="J215" s="5" t="s">
        <v>79</v>
      </c>
      <c r="K215" t="s">
        <v>8</v>
      </c>
    </row>
    <row r="216" spans="1:11" x14ac:dyDescent="0.75">
      <c r="A216" s="1">
        <v>45837</v>
      </c>
      <c r="B216" s="1" t="s">
        <v>91</v>
      </c>
      <c r="C216" t="s">
        <v>103</v>
      </c>
      <c r="D216">
        <v>16.7</v>
      </c>
      <c r="E216">
        <v>2</v>
      </c>
      <c r="F216">
        <v>31</v>
      </c>
      <c r="G216" t="s">
        <v>67</v>
      </c>
      <c r="H216" s="5">
        <v>0.41899305555555599</v>
      </c>
      <c r="I216" s="5">
        <v>0.53773148148148153</v>
      </c>
      <c r="J216" s="5" t="s">
        <v>79</v>
      </c>
      <c r="K216" t="s">
        <v>8</v>
      </c>
    </row>
    <row r="217" spans="1:11" x14ac:dyDescent="0.75">
      <c r="A217" s="1">
        <v>45837</v>
      </c>
      <c r="B217" s="1" t="s">
        <v>91</v>
      </c>
      <c r="C217" t="s">
        <v>103</v>
      </c>
      <c r="D217">
        <v>16.7</v>
      </c>
      <c r="E217">
        <v>2</v>
      </c>
      <c r="F217">
        <v>31</v>
      </c>
      <c r="G217" t="s">
        <v>69</v>
      </c>
      <c r="H217" s="5">
        <v>0.41899305555555599</v>
      </c>
      <c r="I217" s="5">
        <v>0.50656250000000003</v>
      </c>
      <c r="J217" s="5" t="s">
        <v>79</v>
      </c>
      <c r="K217" t="s">
        <v>8</v>
      </c>
    </row>
    <row r="218" spans="1:11" x14ac:dyDescent="0.75">
      <c r="A218" s="1">
        <v>45837</v>
      </c>
      <c r="B218" s="1" t="s">
        <v>91</v>
      </c>
      <c r="C218" t="s">
        <v>103</v>
      </c>
      <c r="D218">
        <v>16.7</v>
      </c>
      <c r="E218">
        <v>2</v>
      </c>
      <c r="F218">
        <v>31</v>
      </c>
      <c r="G218" t="s">
        <v>69</v>
      </c>
      <c r="H218" s="5">
        <v>0.41899305555555599</v>
      </c>
      <c r="I218" s="5">
        <v>0.51261574074074079</v>
      </c>
      <c r="J218" s="5" t="s">
        <v>79</v>
      </c>
      <c r="K218" t="s">
        <v>8</v>
      </c>
    </row>
    <row r="219" spans="1:11" x14ac:dyDescent="0.75">
      <c r="A219" s="1">
        <v>45837</v>
      </c>
      <c r="B219" s="1" t="s">
        <v>91</v>
      </c>
      <c r="C219" t="s">
        <v>103</v>
      </c>
      <c r="D219">
        <v>16.7</v>
      </c>
      <c r="E219">
        <v>2</v>
      </c>
      <c r="F219">
        <v>31</v>
      </c>
      <c r="G219" t="s">
        <v>69</v>
      </c>
      <c r="H219" s="5">
        <v>0.41899305555555599</v>
      </c>
      <c r="I219" s="5">
        <v>0.5189583333333333</v>
      </c>
      <c r="J219" s="5" t="s">
        <v>79</v>
      </c>
      <c r="K219" t="s">
        <v>8</v>
      </c>
    </row>
    <row r="220" spans="1:11" x14ac:dyDescent="0.75">
      <c r="A220" s="1">
        <v>45837</v>
      </c>
      <c r="B220" s="1" t="s">
        <v>91</v>
      </c>
      <c r="C220" t="s">
        <v>103</v>
      </c>
      <c r="D220">
        <v>16.7</v>
      </c>
      <c r="E220">
        <v>2</v>
      </c>
      <c r="F220">
        <v>31</v>
      </c>
      <c r="G220" t="s">
        <v>69</v>
      </c>
      <c r="H220" s="5">
        <v>0.41899305555555599</v>
      </c>
      <c r="I220" s="5">
        <v>0.52201388888888889</v>
      </c>
      <c r="J220" s="5" t="s">
        <v>79</v>
      </c>
      <c r="K220" t="s">
        <v>8</v>
      </c>
    </row>
    <row r="221" spans="1:11" x14ac:dyDescent="0.75">
      <c r="A221" s="1">
        <v>45837</v>
      </c>
      <c r="B221" s="1" t="s">
        <v>91</v>
      </c>
      <c r="C221" t="s">
        <v>103</v>
      </c>
      <c r="D221">
        <v>16.7</v>
      </c>
      <c r="E221">
        <v>2</v>
      </c>
      <c r="F221">
        <v>31</v>
      </c>
      <c r="G221" t="s">
        <v>69</v>
      </c>
      <c r="H221" s="5">
        <v>0.41899305555555599</v>
      </c>
      <c r="I221" s="5">
        <v>0.56905092592592588</v>
      </c>
      <c r="J221" s="5" t="s">
        <v>79</v>
      </c>
      <c r="K221" t="s">
        <v>8</v>
      </c>
    </row>
    <row r="222" spans="1:11" x14ac:dyDescent="0.75">
      <c r="A222" s="1">
        <v>45837</v>
      </c>
      <c r="B222" s="1" t="s">
        <v>91</v>
      </c>
      <c r="C222" t="s">
        <v>103</v>
      </c>
      <c r="D222">
        <v>16.7</v>
      </c>
      <c r="E222">
        <v>2</v>
      </c>
      <c r="F222">
        <v>31</v>
      </c>
      <c r="G222" t="s">
        <v>70</v>
      </c>
      <c r="H222" s="5">
        <v>0.41899305555555599</v>
      </c>
      <c r="I222" s="5">
        <v>0.48730324074074072</v>
      </c>
      <c r="J222" s="5" t="s">
        <v>79</v>
      </c>
      <c r="K222" t="s">
        <v>8</v>
      </c>
    </row>
    <row r="223" spans="1:11" x14ac:dyDescent="0.75">
      <c r="A223" s="1">
        <v>45837</v>
      </c>
      <c r="B223" s="1" t="s">
        <v>91</v>
      </c>
      <c r="C223" t="s">
        <v>103</v>
      </c>
      <c r="D223">
        <v>16.7</v>
      </c>
      <c r="E223">
        <v>2</v>
      </c>
      <c r="F223">
        <v>31</v>
      </c>
      <c r="G223" t="s">
        <v>70</v>
      </c>
      <c r="H223" s="5">
        <v>0.41899305555555599</v>
      </c>
      <c r="I223" s="5">
        <v>0.50547453703703704</v>
      </c>
      <c r="J223" s="5" t="s">
        <v>79</v>
      </c>
      <c r="K223" t="s">
        <v>8</v>
      </c>
    </row>
    <row r="224" spans="1:11" x14ac:dyDescent="0.75">
      <c r="A224" s="1">
        <v>45837</v>
      </c>
      <c r="B224" s="1" t="s">
        <v>91</v>
      </c>
      <c r="C224" t="s">
        <v>103</v>
      </c>
      <c r="D224">
        <v>16.7</v>
      </c>
      <c r="E224">
        <v>2</v>
      </c>
      <c r="F224">
        <v>31</v>
      </c>
      <c r="G224" t="s">
        <v>70</v>
      </c>
      <c r="H224" s="5">
        <v>0.41899305555555599</v>
      </c>
      <c r="I224" s="5">
        <v>0.53212962962962962</v>
      </c>
      <c r="J224" s="5" t="s">
        <v>79</v>
      </c>
      <c r="K224" t="s">
        <v>8</v>
      </c>
    </row>
    <row r="225" spans="1:11" x14ac:dyDescent="0.75">
      <c r="A225" s="1">
        <v>45837</v>
      </c>
      <c r="B225" s="1" t="s">
        <v>91</v>
      </c>
      <c r="C225" t="s">
        <v>103</v>
      </c>
      <c r="D225">
        <v>16.7</v>
      </c>
      <c r="E225">
        <v>2</v>
      </c>
      <c r="F225">
        <v>31</v>
      </c>
      <c r="G225" t="s">
        <v>70</v>
      </c>
      <c r="H225" s="5">
        <v>0.41899305555555599</v>
      </c>
      <c r="I225" s="5">
        <v>0.53862268518518519</v>
      </c>
      <c r="J225" s="5" t="s">
        <v>79</v>
      </c>
      <c r="K225" t="s">
        <v>8</v>
      </c>
    </row>
    <row r="226" spans="1:11" x14ac:dyDescent="0.75">
      <c r="A226" s="1">
        <v>45837</v>
      </c>
      <c r="B226" s="1" t="s">
        <v>91</v>
      </c>
      <c r="C226" t="s">
        <v>103</v>
      </c>
      <c r="D226">
        <v>16.7</v>
      </c>
      <c r="E226">
        <v>2</v>
      </c>
      <c r="F226">
        <v>31</v>
      </c>
      <c r="G226" t="s">
        <v>70</v>
      </c>
      <c r="H226" s="5">
        <v>0.41899305555555599</v>
      </c>
      <c r="I226" s="5">
        <v>0.56269675925925922</v>
      </c>
      <c r="J226" s="5" t="s">
        <v>79</v>
      </c>
      <c r="K226" t="s">
        <v>8</v>
      </c>
    </row>
    <row r="227" spans="1:11" x14ac:dyDescent="0.75">
      <c r="A227" s="1">
        <v>45837</v>
      </c>
      <c r="B227" s="1" t="s">
        <v>91</v>
      </c>
      <c r="C227" t="s">
        <v>103</v>
      </c>
      <c r="D227">
        <v>16.7</v>
      </c>
      <c r="E227">
        <v>3</v>
      </c>
      <c r="F227">
        <v>31.5</v>
      </c>
      <c r="G227" t="s">
        <v>63</v>
      </c>
      <c r="H227" s="5">
        <v>0.42682870370370368</v>
      </c>
      <c r="I227" s="5">
        <v>0.42827546296296298</v>
      </c>
      <c r="J227" s="5" t="s">
        <v>79</v>
      </c>
      <c r="K227" t="s">
        <v>8</v>
      </c>
    </row>
    <row r="228" spans="1:11" x14ac:dyDescent="0.75">
      <c r="A228" s="1">
        <v>45837</v>
      </c>
      <c r="B228" s="1" t="s">
        <v>91</v>
      </c>
      <c r="C228" t="s">
        <v>103</v>
      </c>
      <c r="D228">
        <v>16.7</v>
      </c>
      <c r="E228">
        <v>3</v>
      </c>
      <c r="F228">
        <v>31.5</v>
      </c>
      <c r="G228" t="s">
        <v>63</v>
      </c>
      <c r="H228" s="5">
        <v>0.42682870370370368</v>
      </c>
      <c r="I228" s="5">
        <v>0.45881944444444445</v>
      </c>
      <c r="J228" s="5" t="s">
        <v>79</v>
      </c>
      <c r="K228" t="s">
        <v>8</v>
      </c>
    </row>
    <row r="229" spans="1:11" x14ac:dyDescent="0.75">
      <c r="A229" s="1">
        <v>45837</v>
      </c>
      <c r="B229" s="1" t="s">
        <v>91</v>
      </c>
      <c r="C229" t="s">
        <v>103</v>
      </c>
      <c r="D229">
        <v>16.7</v>
      </c>
      <c r="E229">
        <v>3</v>
      </c>
      <c r="F229">
        <v>31.5</v>
      </c>
      <c r="G229" t="s">
        <v>63</v>
      </c>
      <c r="H229" s="5">
        <v>0.42682870370370402</v>
      </c>
      <c r="I229" s="5">
        <v>0.4695023148148148</v>
      </c>
      <c r="J229" s="5" t="s">
        <v>79</v>
      </c>
      <c r="K229" t="s">
        <v>8</v>
      </c>
    </row>
    <row r="230" spans="1:11" x14ac:dyDescent="0.75">
      <c r="A230" s="1">
        <v>45837</v>
      </c>
      <c r="B230" s="1" t="s">
        <v>91</v>
      </c>
      <c r="C230" t="s">
        <v>103</v>
      </c>
      <c r="D230">
        <v>16.7</v>
      </c>
      <c r="E230">
        <v>3</v>
      </c>
      <c r="F230">
        <v>31.5</v>
      </c>
      <c r="G230" t="s">
        <v>63</v>
      </c>
      <c r="H230" s="5">
        <v>0.42682870370370402</v>
      </c>
      <c r="I230" s="5">
        <v>0.50943287037037033</v>
      </c>
      <c r="J230" s="5" t="s">
        <v>79</v>
      </c>
      <c r="K230" t="s">
        <v>8</v>
      </c>
    </row>
    <row r="231" spans="1:11" x14ac:dyDescent="0.75">
      <c r="A231" s="1">
        <v>45837</v>
      </c>
      <c r="B231" s="1" t="s">
        <v>91</v>
      </c>
      <c r="C231" t="s">
        <v>103</v>
      </c>
      <c r="D231">
        <v>16.7</v>
      </c>
      <c r="E231">
        <v>3</v>
      </c>
      <c r="F231">
        <v>31.5</v>
      </c>
      <c r="G231" t="s">
        <v>63</v>
      </c>
      <c r="H231" s="5">
        <v>0.42682870370370402</v>
      </c>
      <c r="I231" s="5">
        <v>0.53542824074074069</v>
      </c>
      <c r="J231" s="5" t="s">
        <v>79</v>
      </c>
      <c r="K231" t="s">
        <v>8</v>
      </c>
    </row>
    <row r="232" spans="1:11" x14ac:dyDescent="0.75">
      <c r="A232" s="1">
        <v>45837</v>
      </c>
      <c r="B232" s="1" t="s">
        <v>91</v>
      </c>
      <c r="C232" t="s">
        <v>103</v>
      </c>
      <c r="D232">
        <v>16.7</v>
      </c>
      <c r="E232">
        <v>3</v>
      </c>
      <c r="F232">
        <v>31.5</v>
      </c>
      <c r="G232" t="s">
        <v>64</v>
      </c>
      <c r="H232" s="5">
        <v>0.42682870370370402</v>
      </c>
      <c r="I232" s="5">
        <v>0.45953703703703702</v>
      </c>
      <c r="J232" s="5" t="s">
        <v>79</v>
      </c>
      <c r="K232" t="s">
        <v>8</v>
      </c>
    </row>
    <row r="233" spans="1:11" x14ac:dyDescent="0.75">
      <c r="A233" s="1">
        <v>45837</v>
      </c>
      <c r="B233" s="1" t="s">
        <v>91</v>
      </c>
      <c r="C233" t="s">
        <v>103</v>
      </c>
      <c r="D233">
        <v>16.7</v>
      </c>
      <c r="E233">
        <v>3</v>
      </c>
      <c r="F233">
        <v>31.5</v>
      </c>
      <c r="G233" t="s">
        <v>64</v>
      </c>
      <c r="H233" s="5">
        <v>0.42682870370370402</v>
      </c>
      <c r="I233" s="5">
        <v>0.49932870370370369</v>
      </c>
      <c r="J233" s="5" t="s">
        <v>79</v>
      </c>
      <c r="K233" t="s">
        <v>8</v>
      </c>
    </row>
    <row r="234" spans="1:11" x14ac:dyDescent="0.75">
      <c r="A234" s="1">
        <v>45837</v>
      </c>
      <c r="B234" s="1" t="s">
        <v>91</v>
      </c>
      <c r="C234" t="s">
        <v>103</v>
      </c>
      <c r="D234">
        <v>16.7</v>
      </c>
      <c r="E234">
        <v>3</v>
      </c>
      <c r="F234">
        <v>31.5</v>
      </c>
      <c r="G234" t="s">
        <v>64</v>
      </c>
      <c r="H234" s="5">
        <v>0.42682870370370402</v>
      </c>
      <c r="I234" s="5">
        <v>0.51224537037037032</v>
      </c>
      <c r="J234" s="5" t="s">
        <v>79</v>
      </c>
      <c r="K234" t="s">
        <v>8</v>
      </c>
    </row>
    <row r="235" spans="1:11" x14ac:dyDescent="0.75">
      <c r="A235" s="1">
        <v>45837</v>
      </c>
      <c r="B235" s="1" t="s">
        <v>91</v>
      </c>
      <c r="C235" t="s">
        <v>103</v>
      </c>
      <c r="D235">
        <v>16.7</v>
      </c>
      <c r="E235">
        <v>3</v>
      </c>
      <c r="F235">
        <v>31.5</v>
      </c>
      <c r="G235" t="s">
        <v>64</v>
      </c>
      <c r="H235" s="5">
        <v>0.42682870370370402</v>
      </c>
      <c r="I235" s="5">
        <v>0.51446759259259256</v>
      </c>
      <c r="J235" s="5" t="s">
        <v>79</v>
      </c>
      <c r="K235" t="s">
        <v>8</v>
      </c>
    </row>
    <row r="236" spans="1:11" x14ac:dyDescent="0.75">
      <c r="A236" s="1">
        <v>45837</v>
      </c>
      <c r="B236" s="1" t="s">
        <v>91</v>
      </c>
      <c r="C236" t="s">
        <v>103</v>
      </c>
      <c r="D236">
        <v>16.7</v>
      </c>
      <c r="E236">
        <v>3</v>
      </c>
      <c r="F236">
        <v>31.5</v>
      </c>
      <c r="G236" t="s">
        <v>64</v>
      </c>
      <c r="H236" s="5">
        <v>0.42682870370370402</v>
      </c>
      <c r="I236" s="5">
        <v>0.54947916666666663</v>
      </c>
      <c r="J236" s="5" t="s">
        <v>79</v>
      </c>
      <c r="K236" t="s">
        <v>8</v>
      </c>
    </row>
    <row r="237" spans="1:11" x14ac:dyDescent="0.75">
      <c r="A237" s="1">
        <v>45837</v>
      </c>
      <c r="B237" s="1" t="s">
        <v>91</v>
      </c>
      <c r="C237" t="s">
        <v>103</v>
      </c>
      <c r="D237">
        <v>16.7</v>
      </c>
      <c r="E237">
        <v>3</v>
      </c>
      <c r="F237">
        <v>31.5</v>
      </c>
      <c r="G237" t="s">
        <v>65</v>
      </c>
      <c r="H237" s="5">
        <v>0.42682870370370402</v>
      </c>
      <c r="I237" s="5">
        <v>0.43211805555555555</v>
      </c>
      <c r="J237" s="5" t="s">
        <v>79</v>
      </c>
      <c r="K237" t="s">
        <v>8</v>
      </c>
    </row>
    <row r="238" spans="1:11" x14ac:dyDescent="0.75">
      <c r="A238" s="1">
        <v>45837</v>
      </c>
      <c r="B238" s="1" t="s">
        <v>91</v>
      </c>
      <c r="C238" t="s">
        <v>103</v>
      </c>
      <c r="D238">
        <v>16.7</v>
      </c>
      <c r="E238">
        <v>3</v>
      </c>
      <c r="F238">
        <v>31.5</v>
      </c>
      <c r="G238" t="s">
        <v>65</v>
      </c>
      <c r="H238" s="5">
        <v>0.42682870370370402</v>
      </c>
      <c r="I238" s="5">
        <v>0.43438657407407405</v>
      </c>
      <c r="J238" s="5" t="s">
        <v>79</v>
      </c>
      <c r="K238" t="s">
        <v>8</v>
      </c>
    </row>
    <row r="239" spans="1:11" x14ac:dyDescent="0.75">
      <c r="A239" s="1">
        <v>45837</v>
      </c>
      <c r="B239" s="1" t="s">
        <v>91</v>
      </c>
      <c r="C239" t="s">
        <v>103</v>
      </c>
      <c r="D239">
        <v>16.7</v>
      </c>
      <c r="E239">
        <v>3</v>
      </c>
      <c r="F239">
        <v>31.5</v>
      </c>
      <c r="G239" t="s">
        <v>65</v>
      </c>
      <c r="H239" s="5">
        <v>0.42682870370370402</v>
      </c>
      <c r="I239" s="5">
        <v>0.54486111111111113</v>
      </c>
      <c r="J239" s="5" t="s">
        <v>79</v>
      </c>
      <c r="K239" t="s">
        <v>8</v>
      </c>
    </row>
    <row r="240" spans="1:11" x14ac:dyDescent="0.75">
      <c r="A240" s="1">
        <v>45837</v>
      </c>
      <c r="B240" s="1" t="s">
        <v>91</v>
      </c>
      <c r="C240" t="s">
        <v>103</v>
      </c>
      <c r="D240">
        <v>16.7</v>
      </c>
      <c r="E240">
        <v>3</v>
      </c>
      <c r="F240">
        <v>31.5</v>
      </c>
      <c r="G240" t="s">
        <v>65</v>
      </c>
      <c r="H240" s="5">
        <v>0.42682870370370402</v>
      </c>
      <c r="I240" s="5">
        <v>0.54645833333333338</v>
      </c>
      <c r="J240" s="5" t="s">
        <v>79</v>
      </c>
      <c r="K240" t="s">
        <v>8</v>
      </c>
    </row>
    <row r="241" spans="1:11" x14ac:dyDescent="0.75">
      <c r="A241" s="1">
        <v>45837</v>
      </c>
      <c r="B241" s="1" t="s">
        <v>91</v>
      </c>
      <c r="C241" t="s">
        <v>103</v>
      </c>
      <c r="D241">
        <v>16.7</v>
      </c>
      <c r="E241">
        <v>3</v>
      </c>
      <c r="F241">
        <v>31.5</v>
      </c>
      <c r="G241" t="s">
        <v>65</v>
      </c>
      <c r="H241" s="5">
        <v>0.42682870370370402</v>
      </c>
      <c r="I241" s="5">
        <v>0.55937499999999996</v>
      </c>
      <c r="J241" s="5" t="s">
        <v>79</v>
      </c>
      <c r="K241" t="s">
        <v>8</v>
      </c>
    </row>
    <row r="242" spans="1:11" x14ac:dyDescent="0.75">
      <c r="A242" s="1">
        <v>45837</v>
      </c>
      <c r="B242" s="1" t="s">
        <v>91</v>
      </c>
      <c r="C242" t="s">
        <v>103</v>
      </c>
      <c r="D242">
        <v>16.7</v>
      </c>
      <c r="E242">
        <v>4</v>
      </c>
      <c r="F242">
        <v>31.5</v>
      </c>
      <c r="G242" t="s">
        <v>67</v>
      </c>
      <c r="H242" s="5">
        <v>0.42682870370370402</v>
      </c>
      <c r="I242" s="5">
        <v>0.52803240740740742</v>
      </c>
      <c r="J242" s="5" t="s">
        <v>79</v>
      </c>
      <c r="K242" t="s">
        <v>8</v>
      </c>
    </row>
    <row r="243" spans="1:11" x14ac:dyDescent="0.75">
      <c r="A243" s="1">
        <v>45837</v>
      </c>
      <c r="B243" s="1" t="s">
        <v>91</v>
      </c>
      <c r="C243" t="s">
        <v>103</v>
      </c>
      <c r="D243">
        <v>16.7</v>
      </c>
      <c r="E243">
        <v>4</v>
      </c>
      <c r="F243">
        <v>31.5</v>
      </c>
      <c r="G243" t="s">
        <v>67</v>
      </c>
      <c r="H243" s="5">
        <v>0.42682870370370402</v>
      </c>
      <c r="I243" s="5">
        <v>0.53790509259259256</v>
      </c>
      <c r="J243" s="5" t="s">
        <v>79</v>
      </c>
      <c r="K243" t="s">
        <v>8</v>
      </c>
    </row>
    <row r="244" spans="1:11" x14ac:dyDescent="0.75">
      <c r="A244" s="1">
        <v>45837</v>
      </c>
      <c r="B244" s="1" t="s">
        <v>91</v>
      </c>
      <c r="C244" t="s">
        <v>103</v>
      </c>
      <c r="D244">
        <v>16.7</v>
      </c>
      <c r="E244">
        <v>4</v>
      </c>
      <c r="F244">
        <v>31.5</v>
      </c>
      <c r="G244" t="s">
        <v>67</v>
      </c>
      <c r="H244" s="5">
        <v>0.42682870370370402</v>
      </c>
      <c r="I244" s="5">
        <v>0.54805555555555552</v>
      </c>
      <c r="J244" s="5" t="s">
        <v>79</v>
      </c>
      <c r="K244" t="s">
        <v>8</v>
      </c>
    </row>
    <row r="245" spans="1:11" x14ac:dyDescent="0.75">
      <c r="A245" s="1">
        <v>45837</v>
      </c>
      <c r="B245" s="1" t="s">
        <v>91</v>
      </c>
      <c r="C245" t="s">
        <v>103</v>
      </c>
      <c r="D245">
        <v>16.7</v>
      </c>
      <c r="E245">
        <v>4</v>
      </c>
      <c r="F245">
        <v>31.5</v>
      </c>
      <c r="G245" t="s">
        <v>67</v>
      </c>
      <c r="H245" s="5">
        <v>0.42682870370370402</v>
      </c>
      <c r="I245" s="5">
        <v>0.55682870370370374</v>
      </c>
      <c r="J245" s="5" t="s">
        <v>79</v>
      </c>
      <c r="K245" t="s">
        <v>8</v>
      </c>
    </row>
    <row r="246" spans="1:11" x14ac:dyDescent="0.75">
      <c r="A246" s="1">
        <v>45837</v>
      </c>
      <c r="B246" s="1" t="s">
        <v>91</v>
      </c>
      <c r="C246" t="s">
        <v>103</v>
      </c>
      <c r="D246">
        <v>16.7</v>
      </c>
      <c r="E246">
        <v>4</v>
      </c>
      <c r="F246">
        <v>31.5</v>
      </c>
      <c r="G246" t="s">
        <v>67</v>
      </c>
      <c r="H246" s="5">
        <v>0.42682870370370402</v>
      </c>
      <c r="I246" s="5">
        <v>0.58089120370370373</v>
      </c>
      <c r="J246" s="5" t="s">
        <v>79</v>
      </c>
      <c r="K246" t="s">
        <v>8</v>
      </c>
    </row>
    <row r="247" spans="1:11" x14ac:dyDescent="0.75">
      <c r="A247" s="1">
        <v>45837</v>
      </c>
      <c r="B247" s="1" t="s">
        <v>91</v>
      </c>
      <c r="C247" t="s">
        <v>103</v>
      </c>
      <c r="D247">
        <v>16.7</v>
      </c>
      <c r="E247">
        <v>4</v>
      </c>
      <c r="F247">
        <v>31.5</v>
      </c>
      <c r="G247" t="s">
        <v>69</v>
      </c>
      <c r="H247" s="5">
        <v>0.42682870370370402</v>
      </c>
      <c r="I247" s="5">
        <v>0.42744212962962963</v>
      </c>
      <c r="J247" s="5" t="s">
        <v>79</v>
      </c>
      <c r="K247" t="s">
        <v>8</v>
      </c>
    </row>
    <row r="248" spans="1:11" x14ac:dyDescent="0.75">
      <c r="A248" s="1">
        <v>45837</v>
      </c>
      <c r="B248" s="1" t="s">
        <v>91</v>
      </c>
      <c r="C248" t="s">
        <v>103</v>
      </c>
      <c r="D248">
        <v>16.7</v>
      </c>
      <c r="E248">
        <v>4</v>
      </c>
      <c r="F248">
        <v>31.5</v>
      </c>
      <c r="G248" t="s">
        <v>69</v>
      </c>
      <c r="H248" s="5">
        <v>0.42682870370370402</v>
      </c>
      <c r="I248" s="5">
        <v>0.43054398148148149</v>
      </c>
      <c r="J248" s="5" t="s">
        <v>79</v>
      </c>
      <c r="K248" t="s">
        <v>8</v>
      </c>
    </row>
    <row r="249" spans="1:11" x14ac:dyDescent="0.75">
      <c r="A249" s="1">
        <v>45837</v>
      </c>
      <c r="B249" s="1" t="s">
        <v>91</v>
      </c>
      <c r="C249" t="s">
        <v>103</v>
      </c>
      <c r="D249">
        <v>16.7</v>
      </c>
      <c r="E249">
        <v>4</v>
      </c>
      <c r="F249">
        <v>31.5</v>
      </c>
      <c r="G249" t="s">
        <v>69</v>
      </c>
      <c r="H249" s="5">
        <v>0.42682870370370402</v>
      </c>
      <c r="I249" s="5">
        <v>0.52004629629629628</v>
      </c>
      <c r="J249" s="5" t="s">
        <v>79</v>
      </c>
      <c r="K249" t="s">
        <v>8</v>
      </c>
    </row>
    <row r="250" spans="1:11" x14ac:dyDescent="0.75">
      <c r="A250" s="1">
        <v>45837</v>
      </c>
      <c r="B250" s="1" t="s">
        <v>91</v>
      </c>
      <c r="C250" t="s">
        <v>103</v>
      </c>
      <c r="D250">
        <v>16.7</v>
      </c>
      <c r="E250">
        <v>4</v>
      </c>
      <c r="F250">
        <v>31.5</v>
      </c>
      <c r="G250" t="s">
        <v>69</v>
      </c>
      <c r="H250" s="5">
        <v>0.42682870370370402</v>
      </c>
      <c r="I250" s="5">
        <v>0.54592592592592593</v>
      </c>
      <c r="J250" s="5" t="s">
        <v>79</v>
      </c>
      <c r="K250" t="s">
        <v>8</v>
      </c>
    </row>
    <row r="251" spans="1:11" x14ac:dyDescent="0.75">
      <c r="A251" s="1">
        <v>45837</v>
      </c>
      <c r="B251" s="1" t="s">
        <v>91</v>
      </c>
      <c r="C251" t="s">
        <v>103</v>
      </c>
      <c r="D251">
        <v>16.7</v>
      </c>
      <c r="E251">
        <v>4</v>
      </c>
      <c r="F251">
        <v>31.5</v>
      </c>
      <c r="G251" t="s">
        <v>69</v>
      </c>
      <c r="H251" s="5">
        <v>0.42682870370370402</v>
      </c>
      <c r="I251" s="5">
        <v>0.55761574074074072</v>
      </c>
      <c r="J251" s="5" t="s">
        <v>79</v>
      </c>
      <c r="K251" t="s">
        <v>8</v>
      </c>
    </row>
    <row r="252" spans="1:11" x14ac:dyDescent="0.75">
      <c r="A252" s="1">
        <v>45837</v>
      </c>
      <c r="B252" s="1" t="s">
        <v>91</v>
      </c>
      <c r="C252" t="s">
        <v>103</v>
      </c>
      <c r="D252">
        <v>16.7</v>
      </c>
      <c r="E252">
        <v>4</v>
      </c>
      <c r="F252">
        <v>31.5</v>
      </c>
      <c r="G252" t="s">
        <v>70</v>
      </c>
      <c r="H252" s="5">
        <v>0.42682870370370402</v>
      </c>
      <c r="I252" s="5">
        <v>0.44341435185185185</v>
      </c>
      <c r="J252" s="5" t="s">
        <v>79</v>
      </c>
      <c r="K252" t="s">
        <v>8</v>
      </c>
    </row>
    <row r="253" spans="1:11" x14ac:dyDescent="0.75">
      <c r="A253" s="1">
        <v>45837</v>
      </c>
      <c r="B253" s="1" t="s">
        <v>91</v>
      </c>
      <c r="C253" t="s">
        <v>103</v>
      </c>
      <c r="D253">
        <v>16.7</v>
      </c>
      <c r="E253">
        <v>4</v>
      </c>
      <c r="F253">
        <v>31.5</v>
      </c>
      <c r="G253" t="s">
        <v>70</v>
      </c>
      <c r="H253" s="5">
        <v>0.42682870370370402</v>
      </c>
      <c r="I253" s="5">
        <v>0.52456018518518521</v>
      </c>
      <c r="J253" s="5" t="s">
        <v>79</v>
      </c>
      <c r="K253" t="s">
        <v>8</v>
      </c>
    </row>
    <row r="254" spans="1:11" x14ac:dyDescent="0.75">
      <c r="A254" s="1">
        <v>45837</v>
      </c>
      <c r="B254" s="1" t="s">
        <v>91</v>
      </c>
      <c r="C254" t="s">
        <v>103</v>
      </c>
      <c r="D254">
        <v>16.7</v>
      </c>
      <c r="E254">
        <v>4</v>
      </c>
      <c r="F254">
        <v>31.5</v>
      </c>
      <c r="G254" t="s">
        <v>70</v>
      </c>
      <c r="H254" s="5">
        <v>0.42682870370370402</v>
      </c>
      <c r="I254" s="5">
        <v>0.53652777777777783</v>
      </c>
      <c r="J254" s="5" t="s">
        <v>79</v>
      </c>
      <c r="K254" t="s">
        <v>8</v>
      </c>
    </row>
    <row r="255" spans="1:11" x14ac:dyDescent="0.75">
      <c r="A255" s="1">
        <v>45837</v>
      </c>
      <c r="B255" s="1" t="s">
        <v>91</v>
      </c>
      <c r="C255" t="s">
        <v>103</v>
      </c>
      <c r="D255">
        <v>16.7</v>
      </c>
      <c r="E255">
        <v>4</v>
      </c>
      <c r="F255">
        <v>31.5</v>
      </c>
      <c r="G255" t="s">
        <v>70</v>
      </c>
      <c r="H255" s="5">
        <v>0.42682870370370402</v>
      </c>
      <c r="I255" s="5">
        <v>0.5446643518518518</v>
      </c>
      <c r="J255" s="5" t="s">
        <v>79</v>
      </c>
      <c r="K255" t="s">
        <v>8</v>
      </c>
    </row>
    <row r="256" spans="1:11" x14ac:dyDescent="0.75">
      <c r="A256" s="1">
        <v>45837</v>
      </c>
      <c r="B256" s="1" t="s">
        <v>91</v>
      </c>
      <c r="C256" t="s">
        <v>103</v>
      </c>
      <c r="D256">
        <v>16.7</v>
      </c>
      <c r="E256">
        <v>4</v>
      </c>
      <c r="F256">
        <v>31.5</v>
      </c>
      <c r="G256" t="s">
        <v>70</v>
      </c>
      <c r="H256" s="5">
        <v>0.42682870370370402</v>
      </c>
      <c r="I256" s="5">
        <v>0.56732638888888887</v>
      </c>
      <c r="J256" s="5" t="s">
        <v>79</v>
      </c>
      <c r="K256" t="s">
        <v>8</v>
      </c>
    </row>
    <row r="257" spans="1:11" x14ac:dyDescent="0.75">
      <c r="A257" s="1">
        <v>45837</v>
      </c>
      <c r="B257" s="1" t="s">
        <v>91</v>
      </c>
      <c r="C257" t="s">
        <v>103</v>
      </c>
      <c r="D257">
        <v>16.7</v>
      </c>
      <c r="E257">
        <v>5</v>
      </c>
      <c r="F257">
        <v>32</v>
      </c>
      <c r="G257" t="s">
        <v>63</v>
      </c>
      <c r="H257" s="5">
        <v>0.43509259259259259</v>
      </c>
      <c r="I257" s="5">
        <v>0.45832175925925928</v>
      </c>
      <c r="J257" s="5" t="s">
        <v>79</v>
      </c>
      <c r="K257" t="s">
        <v>8</v>
      </c>
    </row>
    <row r="258" spans="1:11" x14ac:dyDescent="0.75">
      <c r="A258" s="1">
        <v>45837</v>
      </c>
      <c r="B258" s="1" t="s">
        <v>91</v>
      </c>
      <c r="C258" t="s">
        <v>103</v>
      </c>
      <c r="D258">
        <v>16.7</v>
      </c>
      <c r="E258">
        <v>5</v>
      </c>
      <c r="F258">
        <v>32</v>
      </c>
      <c r="G258" t="s">
        <v>63</v>
      </c>
      <c r="H258" s="5">
        <v>0.43509259259259259</v>
      </c>
      <c r="I258" s="5">
        <v>0.48148148148148145</v>
      </c>
      <c r="J258" s="5" t="s">
        <v>79</v>
      </c>
      <c r="K258" t="s">
        <v>8</v>
      </c>
    </row>
    <row r="259" spans="1:11" x14ac:dyDescent="0.75">
      <c r="A259" s="1">
        <v>45837</v>
      </c>
      <c r="B259" s="1" t="s">
        <v>91</v>
      </c>
      <c r="C259" t="s">
        <v>103</v>
      </c>
      <c r="D259">
        <v>16.7</v>
      </c>
      <c r="E259">
        <v>5</v>
      </c>
      <c r="F259">
        <v>32</v>
      </c>
      <c r="G259" t="s">
        <v>63</v>
      </c>
      <c r="H259" s="5">
        <v>0.43509259259259297</v>
      </c>
      <c r="I259" s="5">
        <v>0.53563657407407406</v>
      </c>
      <c r="J259" s="5" t="s">
        <v>79</v>
      </c>
      <c r="K259" t="s">
        <v>8</v>
      </c>
    </row>
    <row r="260" spans="1:11" x14ac:dyDescent="0.75">
      <c r="A260" s="1">
        <v>45837</v>
      </c>
      <c r="B260" s="1" t="s">
        <v>91</v>
      </c>
      <c r="C260" t="s">
        <v>103</v>
      </c>
      <c r="D260">
        <v>16.7</v>
      </c>
      <c r="E260">
        <v>5</v>
      </c>
      <c r="F260">
        <v>32</v>
      </c>
      <c r="G260" t="s">
        <v>63</v>
      </c>
      <c r="H260" s="5">
        <v>0.43509259259259297</v>
      </c>
      <c r="I260" s="5">
        <v>0.56339120370370366</v>
      </c>
      <c r="J260" s="5" t="s">
        <v>79</v>
      </c>
      <c r="K260" t="s">
        <v>8</v>
      </c>
    </row>
    <row r="261" spans="1:11" x14ac:dyDescent="0.75">
      <c r="A261" s="1">
        <v>45837</v>
      </c>
      <c r="B261" s="1" t="s">
        <v>91</v>
      </c>
      <c r="C261" t="s">
        <v>103</v>
      </c>
      <c r="D261">
        <v>16.7</v>
      </c>
      <c r="E261">
        <v>5</v>
      </c>
      <c r="F261">
        <v>32</v>
      </c>
      <c r="G261" t="s">
        <v>63</v>
      </c>
      <c r="H261" s="5">
        <v>0.43509259259259297</v>
      </c>
      <c r="I261" s="5">
        <v>0.5678009259259259</v>
      </c>
      <c r="J261" s="5" t="s">
        <v>79</v>
      </c>
      <c r="K261" t="s">
        <v>8</v>
      </c>
    </row>
    <row r="262" spans="1:11" x14ac:dyDescent="0.75">
      <c r="A262" s="1">
        <v>45837</v>
      </c>
      <c r="B262" s="1" t="s">
        <v>91</v>
      </c>
      <c r="C262" t="s">
        <v>103</v>
      </c>
      <c r="D262">
        <v>16.7</v>
      </c>
      <c r="E262">
        <v>5</v>
      </c>
      <c r="F262">
        <v>32</v>
      </c>
      <c r="G262" t="s">
        <v>64</v>
      </c>
      <c r="H262" s="5">
        <v>0.43509259259259297</v>
      </c>
      <c r="I262" s="5">
        <v>0.44259259259259259</v>
      </c>
      <c r="J262" s="5" t="s">
        <v>79</v>
      </c>
      <c r="K262" t="s">
        <v>8</v>
      </c>
    </row>
    <row r="263" spans="1:11" x14ac:dyDescent="0.75">
      <c r="A263" s="1">
        <v>45837</v>
      </c>
      <c r="B263" s="1" t="s">
        <v>91</v>
      </c>
      <c r="C263" t="s">
        <v>103</v>
      </c>
      <c r="D263">
        <v>16.7</v>
      </c>
      <c r="E263">
        <v>5</v>
      </c>
      <c r="F263">
        <v>32</v>
      </c>
      <c r="G263" t="s">
        <v>64</v>
      </c>
      <c r="H263" s="5">
        <v>0.43509259259259297</v>
      </c>
      <c r="I263" s="5">
        <v>0.49004629629629631</v>
      </c>
      <c r="J263" s="5" t="s">
        <v>79</v>
      </c>
      <c r="K263" t="s">
        <v>8</v>
      </c>
    </row>
    <row r="264" spans="1:11" x14ac:dyDescent="0.75">
      <c r="A264" s="1">
        <v>45837</v>
      </c>
      <c r="B264" s="1" t="s">
        <v>91</v>
      </c>
      <c r="C264" t="s">
        <v>103</v>
      </c>
      <c r="D264">
        <v>16.7</v>
      </c>
      <c r="E264">
        <v>5</v>
      </c>
      <c r="F264">
        <v>32</v>
      </c>
      <c r="G264" t="s">
        <v>64</v>
      </c>
      <c r="H264" s="5">
        <v>0.43509259259259297</v>
      </c>
      <c r="I264" s="5">
        <v>0.51640046296296294</v>
      </c>
      <c r="J264" s="5" t="s">
        <v>79</v>
      </c>
      <c r="K264" t="s">
        <v>8</v>
      </c>
    </row>
    <row r="265" spans="1:11" x14ac:dyDescent="0.75">
      <c r="A265" s="1">
        <v>45837</v>
      </c>
      <c r="B265" s="1" t="s">
        <v>91</v>
      </c>
      <c r="C265" t="s">
        <v>103</v>
      </c>
      <c r="D265">
        <v>16.7</v>
      </c>
      <c r="E265">
        <v>5</v>
      </c>
      <c r="F265">
        <v>32</v>
      </c>
      <c r="G265" t="s">
        <v>64</v>
      </c>
      <c r="H265" s="5">
        <v>0.43509259259259297</v>
      </c>
      <c r="I265" s="5">
        <v>0.53188657407407403</v>
      </c>
      <c r="J265" s="5" t="s">
        <v>79</v>
      </c>
      <c r="K265" t="s">
        <v>8</v>
      </c>
    </row>
    <row r="266" spans="1:11" x14ac:dyDescent="0.75">
      <c r="A266" s="1">
        <v>45837</v>
      </c>
      <c r="B266" s="1" t="s">
        <v>91</v>
      </c>
      <c r="C266" t="s">
        <v>103</v>
      </c>
      <c r="D266">
        <v>16.7</v>
      </c>
      <c r="E266">
        <v>5</v>
      </c>
      <c r="F266">
        <v>32</v>
      </c>
      <c r="G266" t="s">
        <v>64</v>
      </c>
      <c r="H266" s="5">
        <v>0.43509259259259297</v>
      </c>
      <c r="I266" s="5">
        <v>0.53287037037037033</v>
      </c>
      <c r="J266" s="5" t="s">
        <v>79</v>
      </c>
      <c r="K266" t="s">
        <v>8</v>
      </c>
    </row>
    <row r="267" spans="1:11" x14ac:dyDescent="0.75">
      <c r="A267" s="1">
        <v>45837</v>
      </c>
      <c r="B267" s="1" t="s">
        <v>91</v>
      </c>
      <c r="C267" t="s">
        <v>103</v>
      </c>
      <c r="D267">
        <v>16.7</v>
      </c>
      <c r="E267">
        <v>5</v>
      </c>
      <c r="F267">
        <v>32</v>
      </c>
      <c r="G267" t="s">
        <v>65</v>
      </c>
      <c r="H267" s="5">
        <v>0.43509259259259297</v>
      </c>
      <c r="I267" s="5">
        <v>0.44104166666666667</v>
      </c>
      <c r="J267" s="5" t="s">
        <v>79</v>
      </c>
      <c r="K267" t="s">
        <v>8</v>
      </c>
    </row>
    <row r="268" spans="1:11" x14ac:dyDescent="0.75">
      <c r="A268" s="1">
        <v>45837</v>
      </c>
      <c r="B268" s="1" t="s">
        <v>91</v>
      </c>
      <c r="C268" t="s">
        <v>103</v>
      </c>
      <c r="D268">
        <v>16.7</v>
      </c>
      <c r="E268">
        <v>5</v>
      </c>
      <c r="F268">
        <v>32</v>
      </c>
      <c r="G268" t="s">
        <v>65</v>
      </c>
      <c r="H268" s="5">
        <v>0.43509259259259297</v>
      </c>
      <c r="I268" s="5">
        <v>0.53851851851851851</v>
      </c>
      <c r="J268" s="5" t="s">
        <v>79</v>
      </c>
      <c r="K268" t="s">
        <v>8</v>
      </c>
    </row>
    <row r="269" spans="1:11" x14ac:dyDescent="0.75">
      <c r="A269" s="1">
        <v>45837</v>
      </c>
      <c r="B269" s="1" t="s">
        <v>91</v>
      </c>
      <c r="C269" t="s">
        <v>103</v>
      </c>
      <c r="D269">
        <v>16.7</v>
      </c>
      <c r="E269">
        <v>5</v>
      </c>
      <c r="F269">
        <v>32</v>
      </c>
      <c r="G269" t="s">
        <v>65</v>
      </c>
      <c r="H269" s="5">
        <v>0.43509259259259297</v>
      </c>
      <c r="I269" s="5">
        <v>0.54144675925925922</v>
      </c>
      <c r="J269" s="5" t="s">
        <v>79</v>
      </c>
      <c r="K269" t="s">
        <v>8</v>
      </c>
    </row>
    <row r="270" spans="1:11" x14ac:dyDescent="0.75">
      <c r="A270" s="1">
        <v>45837</v>
      </c>
      <c r="B270" s="1" t="s">
        <v>91</v>
      </c>
      <c r="C270" t="s">
        <v>103</v>
      </c>
      <c r="D270">
        <v>16.7</v>
      </c>
      <c r="E270">
        <v>5</v>
      </c>
      <c r="F270">
        <v>32</v>
      </c>
      <c r="G270" t="s">
        <v>65</v>
      </c>
      <c r="H270" s="5">
        <v>0.43509259259259297</v>
      </c>
      <c r="I270" s="5">
        <v>0.54552083333333334</v>
      </c>
      <c r="J270" s="5" t="s">
        <v>79</v>
      </c>
      <c r="K270" t="s">
        <v>8</v>
      </c>
    </row>
    <row r="271" spans="1:11" x14ac:dyDescent="0.75">
      <c r="A271" s="1">
        <v>45837</v>
      </c>
      <c r="B271" s="1" t="s">
        <v>91</v>
      </c>
      <c r="C271" t="s">
        <v>103</v>
      </c>
      <c r="D271">
        <v>16.7</v>
      </c>
      <c r="E271">
        <v>5</v>
      </c>
      <c r="F271">
        <v>32</v>
      </c>
      <c r="G271" t="s">
        <v>65</v>
      </c>
      <c r="H271" s="5">
        <v>0.43509259259259297</v>
      </c>
      <c r="I271" s="5">
        <v>0.55184027777777778</v>
      </c>
      <c r="J271" s="5" t="s">
        <v>79</v>
      </c>
      <c r="K271" t="s">
        <v>8</v>
      </c>
    </row>
    <row r="272" spans="1:11" x14ac:dyDescent="0.75">
      <c r="A272" s="1">
        <v>45837</v>
      </c>
      <c r="B272" s="1" t="s">
        <v>91</v>
      </c>
      <c r="C272" t="s">
        <v>103</v>
      </c>
      <c r="D272">
        <v>16.7</v>
      </c>
      <c r="E272">
        <v>6</v>
      </c>
      <c r="F272">
        <v>32</v>
      </c>
      <c r="G272" t="s">
        <v>67</v>
      </c>
      <c r="H272" s="5">
        <v>0.43509259259259297</v>
      </c>
      <c r="I272" s="5">
        <v>0.44028935185185186</v>
      </c>
      <c r="J272" s="5" t="s">
        <v>79</v>
      </c>
      <c r="K272" t="s">
        <v>8</v>
      </c>
    </row>
    <row r="273" spans="1:11" x14ac:dyDescent="0.75">
      <c r="A273" s="1">
        <v>45837</v>
      </c>
      <c r="B273" s="1" t="s">
        <v>91</v>
      </c>
      <c r="C273" t="s">
        <v>103</v>
      </c>
      <c r="D273">
        <v>16.7</v>
      </c>
      <c r="E273">
        <v>6</v>
      </c>
      <c r="F273">
        <v>32</v>
      </c>
      <c r="G273" t="s">
        <v>67</v>
      </c>
      <c r="H273" s="5">
        <v>0.43509259259259297</v>
      </c>
      <c r="I273" s="5">
        <v>0.44638888888888889</v>
      </c>
      <c r="J273" s="5" t="s">
        <v>79</v>
      </c>
      <c r="K273" t="s">
        <v>8</v>
      </c>
    </row>
    <row r="274" spans="1:11" x14ac:dyDescent="0.75">
      <c r="A274" s="1">
        <v>45837</v>
      </c>
      <c r="B274" s="1" t="s">
        <v>91</v>
      </c>
      <c r="C274" t="s">
        <v>103</v>
      </c>
      <c r="D274">
        <v>16.7</v>
      </c>
      <c r="E274">
        <v>6</v>
      </c>
      <c r="F274">
        <v>32</v>
      </c>
      <c r="G274" t="s">
        <v>67</v>
      </c>
      <c r="H274" s="5">
        <v>0.43509259259259297</v>
      </c>
      <c r="I274" s="5">
        <v>0.44687500000000002</v>
      </c>
      <c r="J274" s="5" t="s">
        <v>79</v>
      </c>
      <c r="K274" t="s">
        <v>8</v>
      </c>
    </row>
    <row r="275" spans="1:11" x14ac:dyDescent="0.75">
      <c r="A275" s="1">
        <v>45837</v>
      </c>
      <c r="B275" s="1" t="s">
        <v>91</v>
      </c>
      <c r="C275" t="s">
        <v>103</v>
      </c>
      <c r="D275">
        <v>16.7</v>
      </c>
      <c r="E275">
        <v>6</v>
      </c>
      <c r="F275">
        <v>32</v>
      </c>
      <c r="G275" t="s">
        <v>67</v>
      </c>
      <c r="H275" s="5">
        <v>0.43509259259259297</v>
      </c>
      <c r="I275" s="5">
        <v>0.47175925925925927</v>
      </c>
      <c r="J275" s="5" t="s">
        <v>79</v>
      </c>
      <c r="K275" t="s">
        <v>8</v>
      </c>
    </row>
    <row r="276" spans="1:11" x14ac:dyDescent="0.75">
      <c r="A276" s="1">
        <v>45837</v>
      </c>
      <c r="B276" s="1" t="s">
        <v>91</v>
      </c>
      <c r="C276" t="s">
        <v>103</v>
      </c>
      <c r="D276">
        <v>16.7</v>
      </c>
      <c r="E276">
        <v>6</v>
      </c>
      <c r="F276">
        <v>32</v>
      </c>
      <c r="G276" t="s">
        <v>67</v>
      </c>
      <c r="H276" s="5">
        <v>0.43509259259259297</v>
      </c>
      <c r="I276" s="5">
        <v>0.5513541666666667</v>
      </c>
      <c r="J276" s="5" t="s">
        <v>79</v>
      </c>
      <c r="K276" t="s">
        <v>8</v>
      </c>
    </row>
    <row r="277" spans="1:11" x14ac:dyDescent="0.75">
      <c r="A277" s="1">
        <v>45837</v>
      </c>
      <c r="B277" s="1" t="s">
        <v>91</v>
      </c>
      <c r="C277" t="s">
        <v>103</v>
      </c>
      <c r="D277">
        <v>16.7</v>
      </c>
      <c r="E277">
        <v>6</v>
      </c>
      <c r="F277">
        <v>32</v>
      </c>
      <c r="G277" t="s">
        <v>69</v>
      </c>
      <c r="H277" s="5">
        <v>0.43509259259259297</v>
      </c>
      <c r="I277" s="5">
        <v>0.44487268518518519</v>
      </c>
      <c r="J277" s="5" t="s">
        <v>79</v>
      </c>
      <c r="K277" t="s">
        <v>8</v>
      </c>
    </row>
    <row r="278" spans="1:11" x14ac:dyDescent="0.75">
      <c r="A278" s="1">
        <v>45837</v>
      </c>
      <c r="B278" s="1" t="s">
        <v>91</v>
      </c>
      <c r="C278" t="s">
        <v>103</v>
      </c>
      <c r="D278">
        <v>16.7</v>
      </c>
      <c r="E278">
        <v>6</v>
      </c>
      <c r="F278">
        <v>32</v>
      </c>
      <c r="G278" t="s">
        <v>69</v>
      </c>
      <c r="H278" s="5">
        <v>0.43509259259259297</v>
      </c>
      <c r="I278" s="5">
        <v>0.48344907407407406</v>
      </c>
      <c r="J278" s="5" t="s">
        <v>79</v>
      </c>
      <c r="K278" t="s">
        <v>8</v>
      </c>
    </row>
    <row r="279" spans="1:11" x14ac:dyDescent="0.75">
      <c r="A279" s="1">
        <v>45837</v>
      </c>
      <c r="B279" s="1" t="s">
        <v>91</v>
      </c>
      <c r="C279" t="s">
        <v>103</v>
      </c>
      <c r="D279">
        <v>16.7</v>
      </c>
      <c r="E279">
        <v>6</v>
      </c>
      <c r="F279">
        <v>32</v>
      </c>
      <c r="G279" t="s">
        <v>69</v>
      </c>
      <c r="H279" s="5">
        <v>0.43509259259259297</v>
      </c>
      <c r="I279" s="5">
        <v>0.49605324074074075</v>
      </c>
      <c r="J279" s="5" t="s">
        <v>79</v>
      </c>
      <c r="K279" t="s">
        <v>8</v>
      </c>
    </row>
    <row r="280" spans="1:11" x14ac:dyDescent="0.75">
      <c r="A280" s="1">
        <v>45837</v>
      </c>
      <c r="B280" s="1" t="s">
        <v>91</v>
      </c>
      <c r="C280" t="s">
        <v>103</v>
      </c>
      <c r="D280">
        <v>16.7</v>
      </c>
      <c r="E280">
        <v>6</v>
      </c>
      <c r="F280">
        <v>32</v>
      </c>
      <c r="G280" t="s">
        <v>69</v>
      </c>
      <c r="H280" s="5">
        <v>0.43509259259259297</v>
      </c>
      <c r="I280" s="5">
        <v>0.53686342592592595</v>
      </c>
      <c r="J280" s="5" t="s">
        <v>79</v>
      </c>
      <c r="K280" t="s">
        <v>8</v>
      </c>
    </row>
    <row r="281" spans="1:11" x14ac:dyDescent="0.75">
      <c r="A281" s="1">
        <v>45837</v>
      </c>
      <c r="B281" s="1" t="s">
        <v>91</v>
      </c>
      <c r="C281" t="s">
        <v>103</v>
      </c>
      <c r="D281">
        <v>16.7</v>
      </c>
      <c r="E281">
        <v>6</v>
      </c>
      <c r="F281">
        <v>32</v>
      </c>
      <c r="G281" t="s">
        <v>69</v>
      </c>
      <c r="H281" s="5">
        <v>0.43509259259259297</v>
      </c>
      <c r="I281" s="5">
        <v>0.54387731481481483</v>
      </c>
      <c r="J281" s="5" t="s">
        <v>79</v>
      </c>
      <c r="K281" t="s">
        <v>8</v>
      </c>
    </row>
    <row r="282" spans="1:11" x14ac:dyDescent="0.75">
      <c r="A282" s="1">
        <v>45837</v>
      </c>
      <c r="B282" s="1" t="s">
        <v>91</v>
      </c>
      <c r="C282" t="s">
        <v>103</v>
      </c>
      <c r="D282">
        <v>16.7</v>
      </c>
      <c r="E282">
        <v>6</v>
      </c>
      <c r="F282">
        <v>32</v>
      </c>
      <c r="G282" t="s">
        <v>70</v>
      </c>
      <c r="H282" s="5">
        <v>0.43509259259259297</v>
      </c>
      <c r="I282" s="5">
        <v>0.43572916666666667</v>
      </c>
      <c r="J282" s="5" t="s">
        <v>79</v>
      </c>
      <c r="K282" t="s">
        <v>8</v>
      </c>
    </row>
    <row r="283" spans="1:11" x14ac:dyDescent="0.75">
      <c r="A283" s="1">
        <v>45837</v>
      </c>
      <c r="B283" s="1" t="s">
        <v>91</v>
      </c>
      <c r="C283" t="s">
        <v>103</v>
      </c>
      <c r="D283">
        <v>16.7</v>
      </c>
      <c r="E283">
        <v>6</v>
      </c>
      <c r="F283">
        <v>32</v>
      </c>
      <c r="G283" t="s">
        <v>70</v>
      </c>
      <c r="H283" s="5">
        <v>0.43509259259259297</v>
      </c>
      <c r="I283" s="5">
        <v>0.4957523148148148</v>
      </c>
      <c r="J283" s="5" t="s">
        <v>79</v>
      </c>
      <c r="K283" t="s">
        <v>8</v>
      </c>
    </row>
    <row r="284" spans="1:11" x14ac:dyDescent="0.75">
      <c r="A284" s="1">
        <v>45837</v>
      </c>
      <c r="B284" s="1" t="s">
        <v>91</v>
      </c>
      <c r="C284" t="s">
        <v>103</v>
      </c>
      <c r="D284">
        <v>16.7</v>
      </c>
      <c r="E284">
        <v>6</v>
      </c>
      <c r="F284">
        <v>32</v>
      </c>
      <c r="G284" t="s">
        <v>70</v>
      </c>
      <c r="H284" s="5">
        <v>0.43509259259259297</v>
      </c>
      <c r="I284" s="5">
        <v>0.50179398148148147</v>
      </c>
      <c r="J284" s="5" t="s">
        <v>79</v>
      </c>
      <c r="K284" t="s">
        <v>8</v>
      </c>
    </row>
    <row r="285" spans="1:11" x14ac:dyDescent="0.75">
      <c r="A285" s="1">
        <v>45837</v>
      </c>
      <c r="B285" s="1" t="s">
        <v>91</v>
      </c>
      <c r="C285" t="s">
        <v>103</v>
      </c>
      <c r="D285">
        <v>16.7</v>
      </c>
      <c r="E285">
        <v>6</v>
      </c>
      <c r="F285">
        <v>32</v>
      </c>
      <c r="G285" t="s">
        <v>70</v>
      </c>
      <c r="H285" s="5">
        <v>0.43509259259259297</v>
      </c>
      <c r="I285" s="5">
        <v>0.53245370370370371</v>
      </c>
      <c r="J285" s="5" t="s">
        <v>79</v>
      </c>
      <c r="K285" t="s">
        <v>8</v>
      </c>
    </row>
    <row r="286" spans="1:11" x14ac:dyDescent="0.75">
      <c r="A286" s="1">
        <v>45837</v>
      </c>
      <c r="B286" s="1" t="s">
        <v>91</v>
      </c>
      <c r="C286" t="s">
        <v>103</v>
      </c>
      <c r="D286">
        <v>16.7</v>
      </c>
      <c r="E286">
        <v>6</v>
      </c>
      <c r="F286">
        <v>32</v>
      </c>
      <c r="G286" t="s">
        <v>70</v>
      </c>
      <c r="H286" s="5">
        <v>0.43509259259259297</v>
      </c>
      <c r="I286" s="5">
        <v>0.54513888888888884</v>
      </c>
      <c r="J286" s="5" t="s">
        <v>79</v>
      </c>
      <c r="K286" t="s">
        <v>8</v>
      </c>
    </row>
    <row r="287" spans="1:11" x14ac:dyDescent="0.75">
      <c r="A287" s="1">
        <v>45837</v>
      </c>
      <c r="B287" s="1" t="s">
        <v>91</v>
      </c>
      <c r="C287" t="s">
        <v>87</v>
      </c>
      <c r="D287">
        <v>16.7</v>
      </c>
      <c r="E287">
        <v>2</v>
      </c>
      <c r="F287">
        <v>33</v>
      </c>
      <c r="G287" t="s">
        <v>63</v>
      </c>
      <c r="H287" s="5">
        <v>0.68299768518518522</v>
      </c>
      <c r="I287" s="5">
        <v>0.6840046296296296</v>
      </c>
      <c r="J287" s="5" t="s">
        <v>79</v>
      </c>
      <c r="K287" t="s">
        <v>8</v>
      </c>
    </row>
    <row r="288" spans="1:11" x14ac:dyDescent="0.75">
      <c r="A288" s="1">
        <v>45837</v>
      </c>
      <c r="B288" s="1" t="s">
        <v>91</v>
      </c>
      <c r="C288" t="s">
        <v>87</v>
      </c>
      <c r="D288">
        <v>16.7</v>
      </c>
      <c r="E288">
        <v>2</v>
      </c>
      <c r="F288">
        <v>33</v>
      </c>
      <c r="G288" t="s">
        <v>63</v>
      </c>
      <c r="H288" s="5">
        <v>0.68299768518518522</v>
      </c>
      <c r="I288" s="5">
        <v>0.68454861111111109</v>
      </c>
      <c r="J288" s="5" t="s">
        <v>79</v>
      </c>
      <c r="K288" t="s">
        <v>8</v>
      </c>
    </row>
    <row r="289" spans="1:11" x14ac:dyDescent="0.75">
      <c r="A289" s="1">
        <v>45837</v>
      </c>
      <c r="B289" s="1" t="s">
        <v>91</v>
      </c>
      <c r="C289" t="s">
        <v>87</v>
      </c>
      <c r="D289">
        <v>16.7</v>
      </c>
      <c r="E289">
        <v>2</v>
      </c>
      <c r="F289">
        <v>33</v>
      </c>
      <c r="G289" t="s">
        <v>63</v>
      </c>
      <c r="H289" s="5">
        <v>0.682997685185185</v>
      </c>
      <c r="I289" s="5">
        <v>0.68484953703703699</v>
      </c>
      <c r="J289" s="5" t="s">
        <v>79</v>
      </c>
      <c r="K289" t="s">
        <v>8</v>
      </c>
    </row>
    <row r="290" spans="1:11" x14ac:dyDescent="0.75">
      <c r="A290" s="1">
        <v>45837</v>
      </c>
      <c r="B290" s="1" t="s">
        <v>91</v>
      </c>
      <c r="C290" t="s">
        <v>87</v>
      </c>
      <c r="D290">
        <v>16.7</v>
      </c>
      <c r="E290">
        <v>2</v>
      </c>
      <c r="F290">
        <v>33</v>
      </c>
      <c r="G290" t="s">
        <v>63</v>
      </c>
      <c r="H290" s="5">
        <v>0.682997685185185</v>
      </c>
      <c r="I290" s="5">
        <v>0.68508101851851855</v>
      </c>
      <c r="J290" s="5" t="s">
        <v>79</v>
      </c>
      <c r="K290" t="s">
        <v>8</v>
      </c>
    </row>
    <row r="291" spans="1:11" x14ac:dyDescent="0.75">
      <c r="A291" s="1">
        <v>45837</v>
      </c>
      <c r="B291" s="1" t="s">
        <v>91</v>
      </c>
      <c r="C291" t="s">
        <v>87</v>
      </c>
      <c r="D291">
        <v>16.7</v>
      </c>
      <c r="E291">
        <v>2</v>
      </c>
      <c r="F291">
        <v>33</v>
      </c>
      <c r="G291" t="s">
        <v>63</v>
      </c>
      <c r="H291" s="5">
        <v>0.682997685185185</v>
      </c>
      <c r="I291" s="5">
        <v>0.68548611111111113</v>
      </c>
      <c r="J291" s="5" t="s">
        <v>79</v>
      </c>
      <c r="K291" t="s">
        <v>8</v>
      </c>
    </row>
    <row r="292" spans="1:11" x14ac:dyDescent="0.75">
      <c r="A292" s="1">
        <v>45837</v>
      </c>
      <c r="B292" s="1" t="s">
        <v>91</v>
      </c>
      <c r="C292" t="s">
        <v>104</v>
      </c>
      <c r="D292">
        <v>16.7</v>
      </c>
      <c r="E292">
        <v>3</v>
      </c>
      <c r="F292">
        <v>33</v>
      </c>
      <c r="G292" t="s">
        <v>64</v>
      </c>
      <c r="H292" s="5">
        <v>0.682997685185185</v>
      </c>
      <c r="I292" s="5">
        <v>0.68322916666666667</v>
      </c>
      <c r="J292" s="5" t="s">
        <v>79</v>
      </c>
      <c r="K292" t="s">
        <v>8</v>
      </c>
    </row>
    <row r="293" spans="1:11" x14ac:dyDescent="0.75">
      <c r="A293" s="1">
        <v>45837</v>
      </c>
      <c r="B293" s="1" t="s">
        <v>91</v>
      </c>
      <c r="C293" t="s">
        <v>104</v>
      </c>
      <c r="D293">
        <v>16.7</v>
      </c>
      <c r="E293">
        <v>3</v>
      </c>
      <c r="F293">
        <v>33</v>
      </c>
      <c r="G293" t="s">
        <v>64</v>
      </c>
      <c r="H293" s="5">
        <v>0.682997685185185</v>
      </c>
      <c r="I293" s="5">
        <v>0.68332175925925931</v>
      </c>
      <c r="J293" s="5" t="s">
        <v>79</v>
      </c>
      <c r="K293" t="s">
        <v>8</v>
      </c>
    </row>
    <row r="294" spans="1:11" x14ac:dyDescent="0.75">
      <c r="A294" s="1">
        <v>45837</v>
      </c>
      <c r="B294" s="1" t="s">
        <v>91</v>
      </c>
      <c r="C294" t="s">
        <v>104</v>
      </c>
      <c r="D294">
        <v>16.7</v>
      </c>
      <c r="E294">
        <v>3</v>
      </c>
      <c r="F294">
        <v>33</v>
      </c>
      <c r="G294" t="s">
        <v>64</v>
      </c>
      <c r="H294" s="5">
        <v>0.682997685185185</v>
      </c>
      <c r="I294" s="5">
        <v>0.68435185185185188</v>
      </c>
      <c r="J294" s="5" t="s">
        <v>79</v>
      </c>
      <c r="K294" t="s">
        <v>8</v>
      </c>
    </row>
    <row r="295" spans="1:11" x14ac:dyDescent="0.75">
      <c r="A295" s="1">
        <v>45837</v>
      </c>
      <c r="B295" s="1" t="s">
        <v>91</v>
      </c>
      <c r="C295" t="s">
        <v>104</v>
      </c>
      <c r="D295">
        <v>16.7</v>
      </c>
      <c r="E295">
        <v>3</v>
      </c>
      <c r="F295">
        <v>33</v>
      </c>
      <c r="G295" t="s">
        <v>64</v>
      </c>
      <c r="H295" s="5">
        <v>0.682997685185185</v>
      </c>
      <c r="I295" s="5">
        <v>0.68542824074074071</v>
      </c>
      <c r="J295" s="5" t="s">
        <v>79</v>
      </c>
      <c r="K295" t="s">
        <v>8</v>
      </c>
    </row>
    <row r="296" spans="1:11" x14ac:dyDescent="0.75">
      <c r="A296" s="1">
        <v>45837</v>
      </c>
      <c r="B296" s="1" t="s">
        <v>91</v>
      </c>
      <c r="C296" t="s">
        <v>104</v>
      </c>
      <c r="D296">
        <v>16.7</v>
      </c>
      <c r="E296">
        <v>3</v>
      </c>
      <c r="F296">
        <v>33</v>
      </c>
      <c r="G296" t="s">
        <v>64</v>
      </c>
      <c r="H296" s="5">
        <v>0.682997685185185</v>
      </c>
      <c r="I296" s="5">
        <v>0.68547453703703709</v>
      </c>
      <c r="J296" s="5" t="s">
        <v>79</v>
      </c>
      <c r="K296" t="s">
        <v>8</v>
      </c>
    </row>
    <row r="297" spans="1:11" x14ac:dyDescent="0.75">
      <c r="A297" s="1">
        <v>45837</v>
      </c>
      <c r="B297" s="1" t="s">
        <v>91</v>
      </c>
      <c r="C297" t="s">
        <v>105</v>
      </c>
      <c r="D297">
        <v>16.7</v>
      </c>
      <c r="E297">
        <v>4</v>
      </c>
      <c r="F297">
        <v>33</v>
      </c>
      <c r="G297" t="s">
        <v>65</v>
      </c>
      <c r="H297" s="5">
        <v>0.682997685185185</v>
      </c>
      <c r="I297" s="5">
        <v>0.68355324074074075</v>
      </c>
      <c r="J297" s="5" t="s">
        <v>79</v>
      </c>
      <c r="K297" t="s">
        <v>8</v>
      </c>
    </row>
    <row r="298" spans="1:11" x14ac:dyDescent="0.75">
      <c r="A298" s="1">
        <v>45837</v>
      </c>
      <c r="B298" s="1" t="s">
        <v>91</v>
      </c>
      <c r="C298" t="s">
        <v>105</v>
      </c>
      <c r="D298">
        <v>16.7</v>
      </c>
      <c r="E298">
        <v>4</v>
      </c>
      <c r="F298">
        <v>33</v>
      </c>
      <c r="G298" t="s">
        <v>65</v>
      </c>
      <c r="H298" s="5">
        <v>0.682997685185185</v>
      </c>
      <c r="I298" s="5">
        <v>0.68361111111111106</v>
      </c>
      <c r="J298" s="5" t="s">
        <v>79</v>
      </c>
      <c r="K298" t="s">
        <v>8</v>
      </c>
    </row>
    <row r="299" spans="1:11" x14ac:dyDescent="0.75">
      <c r="A299" s="1">
        <v>45837</v>
      </c>
      <c r="B299" s="1" t="s">
        <v>91</v>
      </c>
      <c r="C299" t="s">
        <v>105</v>
      </c>
      <c r="D299">
        <v>16.7</v>
      </c>
      <c r="E299">
        <v>4</v>
      </c>
      <c r="F299">
        <v>33</v>
      </c>
      <c r="G299" t="s">
        <v>65</v>
      </c>
      <c r="H299" s="5">
        <v>0.682997685185185</v>
      </c>
      <c r="I299" s="5">
        <v>0.68475694444444446</v>
      </c>
      <c r="J299" s="5" t="s">
        <v>79</v>
      </c>
      <c r="K299" t="s">
        <v>8</v>
      </c>
    </row>
    <row r="300" spans="1:11" x14ac:dyDescent="0.75">
      <c r="A300" s="1">
        <v>45837</v>
      </c>
      <c r="B300" s="1" t="s">
        <v>91</v>
      </c>
      <c r="C300" t="s">
        <v>105</v>
      </c>
      <c r="D300">
        <v>16.7</v>
      </c>
      <c r="E300">
        <v>4</v>
      </c>
      <c r="F300">
        <v>33</v>
      </c>
      <c r="G300" t="s">
        <v>65</v>
      </c>
      <c r="H300" s="5">
        <v>0.682997685185185</v>
      </c>
      <c r="I300" s="5">
        <v>0.68500000000000005</v>
      </c>
      <c r="J300" s="5" t="s">
        <v>79</v>
      </c>
      <c r="K300" t="s">
        <v>8</v>
      </c>
    </row>
    <row r="301" spans="1:11" x14ac:dyDescent="0.75">
      <c r="A301" s="1">
        <v>45837</v>
      </c>
      <c r="B301" s="1" t="s">
        <v>91</v>
      </c>
      <c r="C301" t="s">
        <v>105</v>
      </c>
      <c r="D301">
        <v>16.7</v>
      </c>
      <c r="E301">
        <v>4</v>
      </c>
      <c r="F301">
        <v>33</v>
      </c>
      <c r="G301" t="s">
        <v>65</v>
      </c>
      <c r="H301" s="5">
        <v>0.682997685185185</v>
      </c>
      <c r="I301" s="5">
        <v>0.68557870370370366</v>
      </c>
      <c r="J301" s="5" t="s">
        <v>79</v>
      </c>
      <c r="K301" t="s">
        <v>8</v>
      </c>
    </row>
    <row r="302" spans="1:11" x14ac:dyDescent="0.75">
      <c r="A302" s="1">
        <v>45837</v>
      </c>
      <c r="B302" s="1" t="s">
        <v>91</v>
      </c>
      <c r="C302" t="s">
        <v>87</v>
      </c>
      <c r="D302">
        <v>16.7</v>
      </c>
      <c r="E302">
        <v>4</v>
      </c>
      <c r="F302">
        <v>33</v>
      </c>
      <c r="G302" t="s">
        <v>67</v>
      </c>
      <c r="H302" s="5">
        <v>0.69315972222222222</v>
      </c>
      <c r="I302" s="5">
        <v>0.69329861111111113</v>
      </c>
      <c r="J302" s="5" t="s">
        <v>79</v>
      </c>
      <c r="K302" t="s">
        <v>8</v>
      </c>
    </row>
    <row r="303" spans="1:11" x14ac:dyDescent="0.75">
      <c r="A303" s="1">
        <v>45837</v>
      </c>
      <c r="B303" s="1" t="s">
        <v>91</v>
      </c>
      <c r="C303" t="s">
        <v>87</v>
      </c>
      <c r="D303">
        <v>16.7</v>
      </c>
      <c r="E303">
        <v>4</v>
      </c>
      <c r="F303">
        <v>33</v>
      </c>
      <c r="G303" t="s">
        <v>67</v>
      </c>
      <c r="H303" s="5">
        <v>0.69315972222222222</v>
      </c>
      <c r="I303" s="5">
        <v>0.69349537037037035</v>
      </c>
      <c r="J303" s="5" t="s">
        <v>79</v>
      </c>
      <c r="K303" t="s">
        <v>8</v>
      </c>
    </row>
    <row r="304" spans="1:11" x14ac:dyDescent="0.75">
      <c r="A304" s="1">
        <v>45837</v>
      </c>
      <c r="B304" s="1" t="s">
        <v>91</v>
      </c>
      <c r="C304" t="s">
        <v>87</v>
      </c>
      <c r="D304">
        <v>16.7</v>
      </c>
      <c r="E304">
        <v>4</v>
      </c>
      <c r="F304">
        <v>33</v>
      </c>
      <c r="G304" t="s">
        <v>67</v>
      </c>
      <c r="H304" s="5">
        <v>0.693159722222222</v>
      </c>
      <c r="I304" s="5">
        <v>0.69358796296296299</v>
      </c>
      <c r="J304" s="5" t="s">
        <v>79</v>
      </c>
      <c r="K304" t="s">
        <v>8</v>
      </c>
    </row>
    <row r="305" spans="1:11" x14ac:dyDescent="0.75">
      <c r="A305" s="1">
        <v>45837</v>
      </c>
      <c r="B305" s="1" t="s">
        <v>91</v>
      </c>
      <c r="C305" t="s">
        <v>87</v>
      </c>
      <c r="D305">
        <v>16.7</v>
      </c>
      <c r="E305">
        <v>4</v>
      </c>
      <c r="F305">
        <v>33</v>
      </c>
      <c r="G305" t="s">
        <v>67</v>
      </c>
      <c r="H305" s="5">
        <v>0.693159722222222</v>
      </c>
      <c r="I305" s="5">
        <v>0.69379629629629624</v>
      </c>
      <c r="J305" s="5" t="s">
        <v>79</v>
      </c>
      <c r="K305" t="s">
        <v>8</v>
      </c>
    </row>
    <row r="306" spans="1:11" x14ac:dyDescent="0.75">
      <c r="A306" s="1">
        <v>45837</v>
      </c>
      <c r="B306" s="1" t="s">
        <v>91</v>
      </c>
      <c r="C306" t="s">
        <v>87</v>
      </c>
      <c r="D306">
        <v>16.7</v>
      </c>
      <c r="E306">
        <v>4</v>
      </c>
      <c r="F306">
        <v>33</v>
      </c>
      <c r="G306" t="s">
        <v>67</v>
      </c>
      <c r="H306" s="5">
        <v>0.693159722222222</v>
      </c>
      <c r="I306" s="5">
        <v>0.69392361111111112</v>
      </c>
      <c r="J306" s="5" t="s">
        <v>79</v>
      </c>
      <c r="K306" t="s">
        <v>8</v>
      </c>
    </row>
    <row r="307" spans="1:11" x14ac:dyDescent="0.75">
      <c r="A307" s="1">
        <v>45837</v>
      </c>
      <c r="B307" s="1" t="s">
        <v>91</v>
      </c>
      <c r="C307" t="s">
        <v>106</v>
      </c>
      <c r="D307">
        <v>16.7</v>
      </c>
      <c r="E307">
        <v>3</v>
      </c>
      <c r="F307">
        <v>33</v>
      </c>
      <c r="G307" t="s">
        <v>69</v>
      </c>
      <c r="H307" s="5">
        <v>0.693159722222222</v>
      </c>
      <c r="I307" s="5">
        <v>0.69335648148148143</v>
      </c>
      <c r="J307" s="5" t="s">
        <v>79</v>
      </c>
      <c r="K307" t="s">
        <v>8</v>
      </c>
    </row>
    <row r="308" spans="1:11" x14ac:dyDescent="0.75">
      <c r="A308" s="1">
        <v>45837</v>
      </c>
      <c r="B308" s="1" t="s">
        <v>91</v>
      </c>
      <c r="C308" t="s">
        <v>106</v>
      </c>
      <c r="D308">
        <v>16.7</v>
      </c>
      <c r="E308">
        <v>3</v>
      </c>
      <c r="F308">
        <v>33</v>
      </c>
      <c r="G308" t="s">
        <v>69</v>
      </c>
      <c r="H308" s="5">
        <v>0.693159722222222</v>
      </c>
      <c r="I308" s="5">
        <v>0.69423611111111116</v>
      </c>
      <c r="J308" s="5" t="s">
        <v>79</v>
      </c>
      <c r="K308" t="s">
        <v>8</v>
      </c>
    </row>
    <row r="309" spans="1:11" x14ac:dyDescent="0.75">
      <c r="A309" s="1">
        <v>45837</v>
      </c>
      <c r="B309" s="1" t="s">
        <v>91</v>
      </c>
      <c r="C309" t="s">
        <v>106</v>
      </c>
      <c r="D309">
        <v>16.7</v>
      </c>
      <c r="E309">
        <v>3</v>
      </c>
      <c r="F309">
        <v>33</v>
      </c>
      <c r="G309" t="s">
        <v>69</v>
      </c>
      <c r="H309" s="5">
        <v>0.693159722222222</v>
      </c>
      <c r="I309" s="5">
        <v>0.69456018518518514</v>
      </c>
      <c r="J309" s="5" t="s">
        <v>79</v>
      </c>
      <c r="K309" t="s">
        <v>8</v>
      </c>
    </row>
    <row r="310" spans="1:11" x14ac:dyDescent="0.75">
      <c r="A310" s="1">
        <v>45837</v>
      </c>
      <c r="B310" s="1" t="s">
        <v>91</v>
      </c>
      <c r="C310" t="s">
        <v>106</v>
      </c>
      <c r="D310">
        <v>16.7</v>
      </c>
      <c r="E310">
        <v>3</v>
      </c>
      <c r="F310">
        <v>33</v>
      </c>
      <c r="G310" t="s">
        <v>69</v>
      </c>
      <c r="H310" s="5">
        <v>0.693159722222222</v>
      </c>
      <c r="I310" s="5">
        <v>0.69466435185185182</v>
      </c>
      <c r="J310" s="5" t="s">
        <v>79</v>
      </c>
      <c r="K310" t="s">
        <v>8</v>
      </c>
    </row>
    <row r="311" spans="1:11" x14ac:dyDescent="0.75">
      <c r="A311" s="1">
        <v>45837</v>
      </c>
      <c r="B311" s="1" t="s">
        <v>91</v>
      </c>
      <c r="C311" t="s">
        <v>106</v>
      </c>
      <c r="D311">
        <v>16.7</v>
      </c>
      <c r="E311">
        <v>3</v>
      </c>
      <c r="F311">
        <v>33</v>
      </c>
      <c r="G311" t="s">
        <v>69</v>
      </c>
      <c r="H311" s="5">
        <v>0.693159722222222</v>
      </c>
      <c r="I311" s="5">
        <v>0.69489583333333338</v>
      </c>
      <c r="J311" s="5" t="s">
        <v>79</v>
      </c>
      <c r="K311" t="s">
        <v>8</v>
      </c>
    </row>
    <row r="312" spans="1:11" x14ac:dyDescent="0.75">
      <c r="A312" s="1">
        <v>45837</v>
      </c>
      <c r="B312" s="1" t="s">
        <v>91</v>
      </c>
      <c r="C312" t="s">
        <v>105</v>
      </c>
      <c r="D312">
        <v>16.7</v>
      </c>
      <c r="E312">
        <v>2</v>
      </c>
      <c r="F312">
        <v>33</v>
      </c>
      <c r="G312" t="s">
        <v>70</v>
      </c>
      <c r="H312" s="5">
        <v>0.693159722222222</v>
      </c>
      <c r="I312" s="5">
        <v>0.69354166666666661</v>
      </c>
      <c r="J312" s="5" t="s">
        <v>79</v>
      </c>
      <c r="K312" t="s">
        <v>8</v>
      </c>
    </row>
    <row r="313" spans="1:11" x14ac:dyDescent="0.75">
      <c r="A313" s="1">
        <v>45837</v>
      </c>
      <c r="B313" s="1" t="s">
        <v>91</v>
      </c>
      <c r="C313" t="s">
        <v>105</v>
      </c>
      <c r="D313">
        <v>16.7</v>
      </c>
      <c r="E313">
        <v>2</v>
      </c>
      <c r="F313">
        <v>33</v>
      </c>
      <c r="G313" t="s">
        <v>70</v>
      </c>
      <c r="H313" s="5">
        <v>0.693159722222222</v>
      </c>
      <c r="I313" s="5">
        <v>0.69365740740740744</v>
      </c>
      <c r="J313" s="5" t="s">
        <v>79</v>
      </c>
      <c r="K313" t="s">
        <v>8</v>
      </c>
    </row>
    <row r="314" spans="1:11" x14ac:dyDescent="0.75">
      <c r="A314" s="1">
        <v>45837</v>
      </c>
      <c r="B314" s="1" t="s">
        <v>91</v>
      </c>
      <c r="C314" t="s">
        <v>105</v>
      </c>
      <c r="D314">
        <v>16.7</v>
      </c>
      <c r="E314">
        <v>2</v>
      </c>
      <c r="F314">
        <v>33</v>
      </c>
      <c r="G314" t="s">
        <v>70</v>
      </c>
      <c r="H314" s="5">
        <v>0.693159722222222</v>
      </c>
      <c r="I314" s="5">
        <v>0.69385416666666666</v>
      </c>
      <c r="J314" s="5" t="s">
        <v>79</v>
      </c>
      <c r="K314" t="s">
        <v>8</v>
      </c>
    </row>
    <row r="315" spans="1:11" x14ac:dyDescent="0.75">
      <c r="A315" s="1">
        <v>45837</v>
      </c>
      <c r="B315" s="1" t="s">
        <v>91</v>
      </c>
      <c r="C315" t="s">
        <v>105</v>
      </c>
      <c r="D315">
        <v>16.7</v>
      </c>
      <c r="E315">
        <v>2</v>
      </c>
      <c r="F315">
        <v>33</v>
      </c>
      <c r="G315" t="s">
        <v>70</v>
      </c>
      <c r="H315" s="5">
        <v>0.693159722222222</v>
      </c>
      <c r="I315" s="5">
        <v>0.6940277777777778</v>
      </c>
      <c r="J315" s="5" t="s">
        <v>79</v>
      </c>
      <c r="K315" t="s">
        <v>8</v>
      </c>
    </row>
    <row r="316" spans="1:11" x14ac:dyDescent="0.75">
      <c r="A316" s="1">
        <v>45837</v>
      </c>
      <c r="B316" s="1" t="s">
        <v>91</v>
      </c>
      <c r="C316" t="s">
        <v>105</v>
      </c>
      <c r="D316">
        <v>16.7</v>
      </c>
      <c r="E316">
        <v>2</v>
      </c>
      <c r="F316">
        <v>33</v>
      </c>
      <c r="G316" t="s">
        <v>70</v>
      </c>
      <c r="H316" s="5">
        <v>0.693159722222222</v>
      </c>
      <c r="I316" s="5">
        <v>0.69475694444444447</v>
      </c>
      <c r="J316" s="5" t="s">
        <v>79</v>
      </c>
      <c r="K316" t="s">
        <v>8</v>
      </c>
    </row>
    <row r="317" spans="1:11" x14ac:dyDescent="0.75">
      <c r="A317" s="1">
        <v>45837</v>
      </c>
      <c r="B317" s="1" t="s">
        <v>91</v>
      </c>
      <c r="C317" t="s">
        <v>87</v>
      </c>
      <c r="D317">
        <v>16.7</v>
      </c>
      <c r="E317">
        <v>3</v>
      </c>
      <c r="F317">
        <v>33</v>
      </c>
      <c r="G317" t="s">
        <v>88</v>
      </c>
      <c r="H317" s="5">
        <v>0.70346064814814813</v>
      </c>
      <c r="I317" s="5">
        <v>0.70378472222222221</v>
      </c>
      <c r="J317" s="5" t="s">
        <v>79</v>
      </c>
      <c r="K317" t="s">
        <v>8</v>
      </c>
    </row>
    <row r="318" spans="1:11" x14ac:dyDescent="0.75">
      <c r="A318" s="1">
        <v>45837</v>
      </c>
      <c r="B318" s="1" t="s">
        <v>91</v>
      </c>
      <c r="C318" t="s">
        <v>87</v>
      </c>
      <c r="D318">
        <v>16.7</v>
      </c>
      <c r="E318">
        <v>3</v>
      </c>
      <c r="F318">
        <v>33</v>
      </c>
      <c r="G318" t="s">
        <v>88</v>
      </c>
      <c r="H318" s="5">
        <v>0.70346064814814813</v>
      </c>
      <c r="I318" s="5">
        <v>0.70402777777777781</v>
      </c>
      <c r="J318" s="5" t="s">
        <v>79</v>
      </c>
      <c r="K318" t="s">
        <v>8</v>
      </c>
    </row>
    <row r="319" spans="1:11" x14ac:dyDescent="0.75">
      <c r="A319" s="1">
        <v>45837</v>
      </c>
      <c r="B319" s="1" t="s">
        <v>91</v>
      </c>
      <c r="C319" t="s">
        <v>87</v>
      </c>
      <c r="D319">
        <v>16.7</v>
      </c>
      <c r="E319">
        <v>3</v>
      </c>
      <c r="F319">
        <v>33</v>
      </c>
      <c r="G319" t="s">
        <v>88</v>
      </c>
      <c r="H319" s="5">
        <v>0.70346064814814802</v>
      </c>
      <c r="I319" s="5">
        <v>0.71260416666666671</v>
      </c>
      <c r="J319" s="5" t="s">
        <v>79</v>
      </c>
      <c r="K319" t="s">
        <v>8</v>
      </c>
    </row>
    <row r="320" spans="1:11" x14ac:dyDescent="0.75">
      <c r="A320" s="1">
        <v>45837</v>
      </c>
      <c r="B320" s="1" t="s">
        <v>91</v>
      </c>
      <c r="C320" t="s">
        <v>87</v>
      </c>
      <c r="D320">
        <v>16.7</v>
      </c>
      <c r="E320">
        <v>3</v>
      </c>
      <c r="F320">
        <v>33</v>
      </c>
      <c r="G320" t="s">
        <v>88</v>
      </c>
      <c r="H320" s="5">
        <v>0.70346064814814802</v>
      </c>
      <c r="I320" s="5">
        <v>0.72134259259259259</v>
      </c>
      <c r="J320" s="5" t="s">
        <v>79</v>
      </c>
      <c r="K320" t="s">
        <v>8</v>
      </c>
    </row>
    <row r="321" spans="1:11" x14ac:dyDescent="0.75">
      <c r="A321" s="1">
        <v>45837</v>
      </c>
      <c r="B321" s="1" t="s">
        <v>91</v>
      </c>
      <c r="C321" t="s">
        <v>87</v>
      </c>
      <c r="D321">
        <v>16.7</v>
      </c>
      <c r="E321">
        <v>3</v>
      </c>
      <c r="F321">
        <v>33</v>
      </c>
      <c r="G321" t="s">
        <v>88</v>
      </c>
      <c r="H321" s="5">
        <v>0.70346064814814802</v>
      </c>
      <c r="I321" s="5">
        <v>0.72251157407407407</v>
      </c>
      <c r="J321" s="5" t="s">
        <v>79</v>
      </c>
      <c r="K321" t="s">
        <v>8</v>
      </c>
    </row>
    <row r="322" spans="1:11" x14ac:dyDescent="0.75">
      <c r="A322" s="1">
        <v>45837</v>
      </c>
      <c r="B322" s="1" t="s">
        <v>91</v>
      </c>
      <c r="C322" t="s">
        <v>107</v>
      </c>
      <c r="D322">
        <v>16.7</v>
      </c>
      <c r="E322">
        <v>4</v>
      </c>
      <c r="F322">
        <v>33</v>
      </c>
      <c r="G322" t="s">
        <v>89</v>
      </c>
      <c r="H322" s="5">
        <v>0.70346064814814802</v>
      </c>
      <c r="I322" s="5">
        <v>0.70379629629629625</v>
      </c>
      <c r="J322" s="5" t="s">
        <v>79</v>
      </c>
      <c r="K322" t="s">
        <v>8</v>
      </c>
    </row>
    <row r="323" spans="1:11" x14ac:dyDescent="0.75">
      <c r="A323" s="1">
        <v>45837</v>
      </c>
      <c r="B323" s="1" t="s">
        <v>91</v>
      </c>
      <c r="C323" t="s">
        <v>107</v>
      </c>
      <c r="D323">
        <v>16.7</v>
      </c>
      <c r="E323">
        <v>4</v>
      </c>
      <c r="F323">
        <v>33</v>
      </c>
      <c r="G323" t="s">
        <v>89</v>
      </c>
      <c r="H323" s="5">
        <v>0.70346064814814802</v>
      </c>
      <c r="I323" s="5">
        <v>0.70398148148148143</v>
      </c>
      <c r="J323" s="5" t="s">
        <v>79</v>
      </c>
      <c r="K323" t="s">
        <v>8</v>
      </c>
    </row>
    <row r="324" spans="1:11" x14ac:dyDescent="0.75">
      <c r="A324" s="1">
        <v>45837</v>
      </c>
      <c r="B324" s="1" t="s">
        <v>91</v>
      </c>
      <c r="C324" t="s">
        <v>107</v>
      </c>
      <c r="D324">
        <v>16.7</v>
      </c>
      <c r="E324">
        <v>4</v>
      </c>
      <c r="F324">
        <v>33</v>
      </c>
      <c r="G324" t="s">
        <v>89</v>
      </c>
      <c r="H324" s="5">
        <v>0.70346064814814802</v>
      </c>
      <c r="I324" s="5">
        <v>0.70416666666666672</v>
      </c>
      <c r="J324" s="5" t="s">
        <v>79</v>
      </c>
      <c r="K324" t="s">
        <v>8</v>
      </c>
    </row>
    <row r="325" spans="1:11" x14ac:dyDescent="0.75">
      <c r="A325" s="1">
        <v>45837</v>
      </c>
      <c r="B325" s="1" t="s">
        <v>91</v>
      </c>
      <c r="C325" t="s">
        <v>107</v>
      </c>
      <c r="D325">
        <v>16.7</v>
      </c>
      <c r="E325">
        <v>4</v>
      </c>
      <c r="F325">
        <v>33</v>
      </c>
      <c r="G325" t="s">
        <v>89</v>
      </c>
      <c r="H325" s="5">
        <v>0.70346064814814802</v>
      </c>
      <c r="I325" s="5">
        <v>0.70469907407407406</v>
      </c>
      <c r="J325" s="5" t="s">
        <v>79</v>
      </c>
      <c r="K325" t="s">
        <v>8</v>
      </c>
    </row>
    <row r="326" spans="1:11" x14ac:dyDescent="0.75">
      <c r="A326" s="1">
        <v>45837</v>
      </c>
      <c r="B326" s="1" t="s">
        <v>91</v>
      </c>
      <c r="C326" t="s">
        <v>107</v>
      </c>
      <c r="D326">
        <v>16.7</v>
      </c>
      <c r="E326">
        <v>4</v>
      </c>
      <c r="F326">
        <v>33</v>
      </c>
      <c r="G326" t="s">
        <v>89</v>
      </c>
      <c r="H326" s="5">
        <v>0.70346064814814802</v>
      </c>
      <c r="I326" s="5">
        <v>0.70476851851851852</v>
      </c>
      <c r="J326" s="5" t="s">
        <v>79</v>
      </c>
      <c r="K326" t="s">
        <v>8</v>
      </c>
    </row>
    <row r="327" spans="1:11" x14ac:dyDescent="0.75">
      <c r="A327" s="1">
        <v>45837</v>
      </c>
      <c r="B327" s="1" t="s">
        <v>91</v>
      </c>
      <c r="C327" t="s">
        <v>105</v>
      </c>
      <c r="D327">
        <v>16.7</v>
      </c>
      <c r="E327">
        <v>2</v>
      </c>
      <c r="F327">
        <v>33</v>
      </c>
      <c r="G327" t="s">
        <v>90</v>
      </c>
      <c r="H327" s="5">
        <v>0.70346064814814802</v>
      </c>
      <c r="I327" s="5">
        <v>0.70373842592592595</v>
      </c>
      <c r="J327" s="5" t="s">
        <v>79</v>
      </c>
      <c r="K327" t="s">
        <v>8</v>
      </c>
    </row>
    <row r="328" spans="1:11" x14ac:dyDescent="0.75">
      <c r="A328" s="1">
        <v>45837</v>
      </c>
      <c r="B328" s="1" t="s">
        <v>91</v>
      </c>
      <c r="C328" t="s">
        <v>105</v>
      </c>
      <c r="D328">
        <v>16.7</v>
      </c>
      <c r="E328">
        <v>2</v>
      </c>
      <c r="F328">
        <v>33</v>
      </c>
      <c r="G328" t="s">
        <v>90</v>
      </c>
      <c r="H328" s="5">
        <v>0.70346064814814802</v>
      </c>
      <c r="I328" s="5">
        <v>0.70421296296296299</v>
      </c>
      <c r="J328" s="5" t="s">
        <v>79</v>
      </c>
      <c r="K328" t="s">
        <v>8</v>
      </c>
    </row>
    <row r="329" spans="1:11" x14ac:dyDescent="0.75">
      <c r="A329" s="1">
        <v>45837</v>
      </c>
      <c r="B329" s="1" t="s">
        <v>91</v>
      </c>
      <c r="C329" t="s">
        <v>105</v>
      </c>
      <c r="D329">
        <v>16.7</v>
      </c>
      <c r="E329">
        <v>2</v>
      </c>
      <c r="F329">
        <v>33</v>
      </c>
      <c r="G329" t="s">
        <v>90</v>
      </c>
      <c r="H329" s="5">
        <v>0.70346064814814802</v>
      </c>
      <c r="I329" s="5">
        <v>0.70425925925925925</v>
      </c>
      <c r="J329" s="5" t="s">
        <v>79</v>
      </c>
      <c r="K329" t="s">
        <v>8</v>
      </c>
    </row>
    <row r="330" spans="1:11" x14ac:dyDescent="0.75">
      <c r="A330" s="1">
        <v>45837</v>
      </c>
      <c r="B330" s="1" t="s">
        <v>91</v>
      </c>
      <c r="C330" t="s">
        <v>105</v>
      </c>
      <c r="D330">
        <v>16.7</v>
      </c>
      <c r="E330">
        <v>2</v>
      </c>
      <c r="F330">
        <v>33</v>
      </c>
      <c r="G330" t="s">
        <v>90</v>
      </c>
      <c r="H330" s="5">
        <v>0.70346064814814802</v>
      </c>
      <c r="I330" s="5">
        <v>0.70439814814814816</v>
      </c>
      <c r="J330" s="5" t="s">
        <v>79</v>
      </c>
      <c r="K330" t="s">
        <v>8</v>
      </c>
    </row>
    <row r="331" spans="1:11" x14ac:dyDescent="0.75">
      <c r="A331" s="1">
        <v>45837</v>
      </c>
      <c r="B331" s="1" t="s">
        <v>91</v>
      </c>
      <c r="C331" t="s">
        <v>105</v>
      </c>
      <c r="D331">
        <v>16.7</v>
      </c>
      <c r="E331">
        <v>2</v>
      </c>
      <c r="F331">
        <v>33</v>
      </c>
      <c r="G331" t="s">
        <v>90</v>
      </c>
      <c r="H331" s="5">
        <v>0.70346064814814802</v>
      </c>
      <c r="I331" s="5">
        <v>0.70478009259259256</v>
      </c>
      <c r="J331" s="5" t="s">
        <v>79</v>
      </c>
      <c r="K331" t="s">
        <v>8</v>
      </c>
    </row>
    <row r="332" spans="1:11" x14ac:dyDescent="0.75">
      <c r="A332" s="1">
        <v>45837</v>
      </c>
      <c r="B332" s="1" t="s">
        <v>91</v>
      </c>
      <c r="C332" t="s">
        <v>87</v>
      </c>
      <c r="D332">
        <v>16.7</v>
      </c>
      <c r="E332">
        <v>3</v>
      </c>
      <c r="F332">
        <v>33</v>
      </c>
      <c r="G332" t="s">
        <v>100</v>
      </c>
      <c r="H332" s="5">
        <v>0.71604166666666669</v>
      </c>
      <c r="I332" s="5">
        <v>0.71637731481481481</v>
      </c>
      <c r="J332" s="5" t="s">
        <v>79</v>
      </c>
      <c r="K332" t="s">
        <v>8</v>
      </c>
    </row>
    <row r="333" spans="1:11" x14ac:dyDescent="0.75">
      <c r="A333" s="1">
        <v>45837</v>
      </c>
      <c r="B333" s="1" t="s">
        <v>91</v>
      </c>
      <c r="C333" t="s">
        <v>87</v>
      </c>
      <c r="D333">
        <v>16.7</v>
      </c>
      <c r="E333">
        <v>3</v>
      </c>
      <c r="F333">
        <v>33</v>
      </c>
      <c r="G333" t="s">
        <v>100</v>
      </c>
      <c r="H333" s="5">
        <v>0.71604166666666669</v>
      </c>
      <c r="I333" s="5">
        <v>0.7167824074074074</v>
      </c>
      <c r="J333" s="5" t="s">
        <v>79</v>
      </c>
      <c r="K333" t="s">
        <v>8</v>
      </c>
    </row>
    <row r="334" spans="1:11" x14ac:dyDescent="0.75">
      <c r="A334" s="1">
        <v>45837</v>
      </c>
      <c r="B334" s="1" t="s">
        <v>91</v>
      </c>
      <c r="C334" t="s">
        <v>87</v>
      </c>
      <c r="D334">
        <v>16.7</v>
      </c>
      <c r="E334">
        <v>3</v>
      </c>
      <c r="F334">
        <v>33</v>
      </c>
      <c r="G334" t="s">
        <v>100</v>
      </c>
      <c r="H334" s="5">
        <v>0.71604166666666702</v>
      </c>
      <c r="I334" s="5">
        <v>0.71800925925925929</v>
      </c>
      <c r="J334" s="5" t="s">
        <v>79</v>
      </c>
      <c r="K334" t="s">
        <v>8</v>
      </c>
    </row>
    <row r="335" spans="1:11" x14ac:dyDescent="0.75">
      <c r="A335" s="1">
        <v>45837</v>
      </c>
      <c r="B335" s="1" t="s">
        <v>91</v>
      </c>
      <c r="C335" t="s">
        <v>87</v>
      </c>
      <c r="D335">
        <v>16.7</v>
      </c>
      <c r="E335">
        <v>3</v>
      </c>
      <c r="F335">
        <v>33</v>
      </c>
      <c r="G335" t="s">
        <v>100</v>
      </c>
      <c r="H335" s="5">
        <v>0.71604166666666702</v>
      </c>
      <c r="I335" s="5">
        <v>0.72098379629629628</v>
      </c>
      <c r="J335" s="5" t="s">
        <v>79</v>
      </c>
      <c r="K335" t="s">
        <v>8</v>
      </c>
    </row>
    <row r="336" spans="1:11" x14ac:dyDescent="0.75">
      <c r="A336" s="1">
        <v>45837</v>
      </c>
      <c r="B336" s="1" t="s">
        <v>91</v>
      </c>
      <c r="C336" t="s">
        <v>87</v>
      </c>
      <c r="D336">
        <v>16.7</v>
      </c>
      <c r="E336">
        <v>3</v>
      </c>
      <c r="F336">
        <v>33</v>
      </c>
      <c r="G336" t="s">
        <v>100</v>
      </c>
      <c r="H336" s="5">
        <v>0.71604166666666702</v>
      </c>
      <c r="I336" s="5">
        <v>0.72438657407407403</v>
      </c>
      <c r="J336" s="5" t="s">
        <v>79</v>
      </c>
      <c r="K336" t="s">
        <v>8</v>
      </c>
    </row>
    <row r="337" spans="1:11" x14ac:dyDescent="0.75">
      <c r="A337" s="1">
        <v>45837</v>
      </c>
      <c r="B337" s="1" t="s">
        <v>91</v>
      </c>
      <c r="C337" t="s">
        <v>107</v>
      </c>
      <c r="D337">
        <v>16.7</v>
      </c>
      <c r="E337">
        <v>2</v>
      </c>
      <c r="F337">
        <v>33</v>
      </c>
      <c r="G337" t="s">
        <v>101</v>
      </c>
      <c r="H337" s="5">
        <v>0.71604166666666702</v>
      </c>
      <c r="I337" s="5">
        <v>0.71638888888888885</v>
      </c>
      <c r="J337" s="5" t="s">
        <v>79</v>
      </c>
      <c r="K337" t="s">
        <v>8</v>
      </c>
    </row>
    <row r="338" spans="1:11" x14ac:dyDescent="0.75">
      <c r="A338" s="1">
        <v>45837</v>
      </c>
      <c r="B338" s="1" t="s">
        <v>91</v>
      </c>
      <c r="C338" t="s">
        <v>107</v>
      </c>
      <c r="D338">
        <v>16.7</v>
      </c>
      <c r="E338">
        <v>2</v>
      </c>
      <c r="F338">
        <v>33</v>
      </c>
      <c r="G338" t="s">
        <v>101</v>
      </c>
      <c r="H338" s="5">
        <v>0.71604166666666702</v>
      </c>
      <c r="I338" s="5">
        <v>0.716400462962963</v>
      </c>
      <c r="J338" s="5" t="s">
        <v>79</v>
      </c>
      <c r="K338" t="s">
        <v>8</v>
      </c>
    </row>
    <row r="339" spans="1:11" x14ac:dyDescent="0.75">
      <c r="A339" s="1">
        <v>45837</v>
      </c>
      <c r="B339" s="1" t="s">
        <v>91</v>
      </c>
      <c r="C339" t="s">
        <v>107</v>
      </c>
      <c r="D339">
        <v>16.7</v>
      </c>
      <c r="E339">
        <v>2</v>
      </c>
      <c r="F339">
        <v>33</v>
      </c>
      <c r="G339" t="s">
        <v>101</v>
      </c>
      <c r="H339" s="5">
        <v>0.71604166666666702</v>
      </c>
      <c r="I339" s="5">
        <v>0.7167824074074074</v>
      </c>
      <c r="J339" s="5" t="s">
        <v>79</v>
      </c>
      <c r="K339" t="s">
        <v>8</v>
      </c>
    </row>
    <row r="340" spans="1:11" x14ac:dyDescent="0.75">
      <c r="A340" s="1">
        <v>45837</v>
      </c>
      <c r="B340" s="1" t="s">
        <v>91</v>
      </c>
      <c r="C340" t="s">
        <v>107</v>
      </c>
      <c r="D340">
        <v>16.7</v>
      </c>
      <c r="E340">
        <v>2</v>
      </c>
      <c r="F340">
        <v>33</v>
      </c>
      <c r="G340" t="s">
        <v>101</v>
      </c>
      <c r="H340" s="5">
        <v>0.71604166666666702</v>
      </c>
      <c r="I340" s="5">
        <v>0.71689814814814812</v>
      </c>
      <c r="J340" s="5" t="s">
        <v>79</v>
      </c>
      <c r="K340" t="s">
        <v>8</v>
      </c>
    </row>
    <row r="341" spans="1:11" x14ac:dyDescent="0.75">
      <c r="A341" s="1">
        <v>45837</v>
      </c>
      <c r="B341" s="1" t="s">
        <v>91</v>
      </c>
      <c r="C341" t="s">
        <v>107</v>
      </c>
      <c r="D341">
        <v>16.7</v>
      </c>
      <c r="E341">
        <v>2</v>
      </c>
      <c r="F341">
        <v>33</v>
      </c>
      <c r="G341" t="s">
        <v>101</v>
      </c>
      <c r="H341" s="5">
        <v>0.71604166666666702</v>
      </c>
      <c r="I341" s="5">
        <v>0.7176851851851852</v>
      </c>
      <c r="J341" s="5" t="s">
        <v>79</v>
      </c>
      <c r="K341" t="s">
        <v>8</v>
      </c>
    </row>
    <row r="342" spans="1:11" x14ac:dyDescent="0.75">
      <c r="A342" s="1">
        <v>45837</v>
      </c>
      <c r="B342" s="1" t="s">
        <v>91</v>
      </c>
      <c r="C342" t="s">
        <v>105</v>
      </c>
      <c r="D342">
        <v>16.7</v>
      </c>
      <c r="E342">
        <v>4</v>
      </c>
      <c r="F342">
        <v>33</v>
      </c>
      <c r="G342" t="s">
        <v>102</v>
      </c>
      <c r="H342" s="5">
        <v>0.71604166666666702</v>
      </c>
      <c r="I342" s="5">
        <v>0.71636574074074078</v>
      </c>
      <c r="J342" s="5" t="s">
        <v>79</v>
      </c>
      <c r="K342" t="s">
        <v>8</v>
      </c>
    </row>
    <row r="343" spans="1:11" x14ac:dyDescent="0.75">
      <c r="A343" s="1">
        <v>45837</v>
      </c>
      <c r="B343" s="1" t="s">
        <v>91</v>
      </c>
      <c r="C343" t="s">
        <v>105</v>
      </c>
      <c r="D343">
        <v>16.7</v>
      </c>
      <c r="E343">
        <v>4</v>
      </c>
      <c r="F343">
        <v>33</v>
      </c>
      <c r="G343" t="s">
        <v>102</v>
      </c>
      <c r="H343" s="5">
        <v>0.71604166666666702</v>
      </c>
      <c r="I343" s="5">
        <v>0.71657407407407403</v>
      </c>
      <c r="J343" s="5" t="s">
        <v>79</v>
      </c>
      <c r="K343" t="s">
        <v>8</v>
      </c>
    </row>
    <row r="344" spans="1:11" x14ac:dyDescent="0.75">
      <c r="A344" s="1">
        <v>45837</v>
      </c>
      <c r="B344" s="1" t="s">
        <v>91</v>
      </c>
      <c r="C344" t="s">
        <v>105</v>
      </c>
      <c r="D344">
        <v>16.7</v>
      </c>
      <c r="E344">
        <v>4</v>
      </c>
      <c r="F344">
        <v>33</v>
      </c>
      <c r="G344" t="s">
        <v>102</v>
      </c>
      <c r="H344" s="5">
        <v>0.71604166666666702</v>
      </c>
      <c r="I344" s="5">
        <v>0.71636574074074078</v>
      </c>
      <c r="J344" s="5" t="s">
        <v>79</v>
      </c>
      <c r="K344" t="s">
        <v>8</v>
      </c>
    </row>
    <row r="345" spans="1:11" x14ac:dyDescent="0.75">
      <c r="A345" s="1">
        <v>45837</v>
      </c>
      <c r="B345" s="1" t="s">
        <v>91</v>
      </c>
      <c r="C345" t="s">
        <v>105</v>
      </c>
      <c r="D345">
        <v>16.7</v>
      </c>
      <c r="E345">
        <v>4</v>
      </c>
      <c r="F345">
        <v>33</v>
      </c>
      <c r="G345" t="s">
        <v>102</v>
      </c>
      <c r="H345" s="5">
        <v>0.71604166666666702</v>
      </c>
      <c r="I345" s="5">
        <v>0.71696759259259257</v>
      </c>
      <c r="J345" s="5" t="s">
        <v>79</v>
      </c>
      <c r="K345" t="s">
        <v>8</v>
      </c>
    </row>
    <row r="346" spans="1:11" x14ac:dyDescent="0.75">
      <c r="A346" s="1">
        <v>45837</v>
      </c>
      <c r="B346" s="1" t="s">
        <v>91</v>
      </c>
      <c r="C346" t="s">
        <v>105</v>
      </c>
      <c r="D346">
        <v>16.7</v>
      </c>
      <c r="E346">
        <v>4</v>
      </c>
      <c r="F346">
        <v>33</v>
      </c>
      <c r="G346" t="s">
        <v>102</v>
      </c>
      <c r="H346" s="5">
        <v>0.71604166666666702</v>
      </c>
      <c r="I346" s="5">
        <v>0.71733796296296293</v>
      </c>
      <c r="J346" s="5" t="s">
        <v>79</v>
      </c>
      <c r="K346" t="s">
        <v>8</v>
      </c>
    </row>
    <row r="347" spans="1:11" x14ac:dyDescent="0.75">
      <c r="H347" s="5"/>
      <c r="I347" s="5"/>
    </row>
    <row r="348" spans="1:11" x14ac:dyDescent="0.75">
      <c r="H348" s="5"/>
      <c r="I348" s="5"/>
    </row>
    <row r="349" spans="1:11" x14ac:dyDescent="0.75">
      <c r="H349" s="5"/>
      <c r="I349" s="5"/>
    </row>
    <row r="350" spans="1:11" x14ac:dyDescent="0.75">
      <c r="H350" s="5"/>
      <c r="I350" s="5"/>
    </row>
    <row r="351" spans="1:11" x14ac:dyDescent="0.75">
      <c r="H351" s="5"/>
      <c r="I351" s="5"/>
    </row>
    <row r="352" spans="1:11" x14ac:dyDescent="0.75">
      <c r="H352" s="5"/>
      <c r="I352" s="5"/>
    </row>
    <row r="353" spans="8:9" x14ac:dyDescent="0.75">
      <c r="H353" s="5"/>
      <c r="I353" s="5"/>
    </row>
    <row r="354" spans="8:9" x14ac:dyDescent="0.75">
      <c r="H354" s="5"/>
      <c r="I354" s="5"/>
    </row>
    <row r="355" spans="8:9" x14ac:dyDescent="0.75">
      <c r="H355" s="5"/>
      <c r="I355" s="5"/>
    </row>
    <row r="356" spans="8:9" x14ac:dyDescent="0.75">
      <c r="H356" s="5"/>
      <c r="I356" s="5"/>
    </row>
    <row r="357" spans="8:9" x14ac:dyDescent="0.75">
      <c r="H357" s="5"/>
      <c r="I357" s="5"/>
    </row>
    <row r="358" spans="8:9" x14ac:dyDescent="0.75">
      <c r="H358" s="5"/>
      <c r="I358" s="5"/>
    </row>
    <row r="359" spans="8:9" x14ac:dyDescent="0.75">
      <c r="H359" s="5"/>
      <c r="I359" s="5"/>
    </row>
    <row r="360" spans="8:9" x14ac:dyDescent="0.75">
      <c r="H360" s="5"/>
      <c r="I360" s="5"/>
    </row>
    <row r="361" spans="8:9" x14ac:dyDescent="0.75">
      <c r="H361" s="5"/>
      <c r="I361" s="5"/>
    </row>
    <row r="362" spans="8:9" x14ac:dyDescent="0.75">
      <c r="H362" s="5"/>
      <c r="I362" s="5"/>
    </row>
    <row r="363" spans="8:9" x14ac:dyDescent="0.75">
      <c r="H363" s="5"/>
      <c r="I363" s="5"/>
    </row>
    <row r="364" spans="8:9" x14ac:dyDescent="0.75">
      <c r="H364" s="5"/>
      <c r="I364" s="5"/>
    </row>
    <row r="365" spans="8:9" x14ac:dyDescent="0.75">
      <c r="H365" s="5"/>
      <c r="I365" s="5"/>
    </row>
    <row r="366" spans="8:9" x14ac:dyDescent="0.75">
      <c r="H366" s="5"/>
      <c r="I366" s="5"/>
    </row>
    <row r="367" spans="8:9" x14ac:dyDescent="0.75">
      <c r="H367" s="5"/>
      <c r="I367" s="5"/>
    </row>
    <row r="368" spans="8:9" x14ac:dyDescent="0.75">
      <c r="H368" s="5"/>
      <c r="I368" s="5"/>
    </row>
    <row r="369" spans="8:9" x14ac:dyDescent="0.75">
      <c r="H369" s="5"/>
      <c r="I369" s="5"/>
    </row>
    <row r="370" spans="8:9" x14ac:dyDescent="0.75">
      <c r="H370" s="5"/>
      <c r="I370" s="5"/>
    </row>
    <row r="371" spans="8:9" x14ac:dyDescent="0.75">
      <c r="H371" s="5"/>
      <c r="I371" s="5"/>
    </row>
    <row r="372" spans="8:9" x14ac:dyDescent="0.75">
      <c r="H372" s="5"/>
      <c r="I372" s="5"/>
    </row>
    <row r="373" spans="8:9" x14ac:dyDescent="0.75">
      <c r="H373" s="5"/>
      <c r="I373" s="5"/>
    </row>
    <row r="374" spans="8:9" x14ac:dyDescent="0.75">
      <c r="H374" s="5"/>
      <c r="I374" s="5"/>
    </row>
    <row r="375" spans="8:9" x14ac:dyDescent="0.75">
      <c r="H375" s="5"/>
      <c r="I375" s="5"/>
    </row>
    <row r="376" spans="8:9" x14ac:dyDescent="0.75">
      <c r="H376" s="5"/>
      <c r="I376" s="5"/>
    </row>
    <row r="377" spans="8:9" x14ac:dyDescent="0.75">
      <c r="H377" s="5"/>
      <c r="I377" s="5"/>
    </row>
    <row r="378" spans="8:9" x14ac:dyDescent="0.75">
      <c r="H378" s="5"/>
      <c r="I378" s="5"/>
    </row>
    <row r="379" spans="8:9" x14ac:dyDescent="0.75">
      <c r="H379" s="5"/>
      <c r="I379" s="5"/>
    </row>
    <row r="380" spans="8:9" x14ac:dyDescent="0.75">
      <c r="H380" s="5"/>
      <c r="I380" s="5"/>
    </row>
    <row r="381" spans="8:9" x14ac:dyDescent="0.75">
      <c r="H381" s="5"/>
      <c r="I381" s="5"/>
    </row>
    <row r="382" spans="8:9" x14ac:dyDescent="0.75">
      <c r="H382" s="5"/>
      <c r="I382" s="5"/>
    </row>
    <row r="383" spans="8:9" x14ac:dyDescent="0.75">
      <c r="H383" s="5"/>
      <c r="I383" s="5"/>
    </row>
    <row r="384" spans="8:9" x14ac:dyDescent="0.75">
      <c r="H384" s="5"/>
      <c r="I384" s="5"/>
    </row>
    <row r="385" spans="8:9" x14ac:dyDescent="0.75">
      <c r="H385" s="5"/>
      <c r="I385" s="5"/>
    </row>
    <row r="386" spans="8:9" x14ac:dyDescent="0.75">
      <c r="H386" s="5"/>
      <c r="I386" s="5"/>
    </row>
    <row r="387" spans="8:9" x14ac:dyDescent="0.75">
      <c r="H387" s="5"/>
      <c r="I387" s="5"/>
    </row>
    <row r="388" spans="8:9" x14ac:dyDescent="0.75">
      <c r="H388" s="5"/>
      <c r="I388" s="5"/>
    </row>
    <row r="389" spans="8:9" x14ac:dyDescent="0.75">
      <c r="H389" s="5"/>
      <c r="I389" s="5"/>
    </row>
    <row r="390" spans="8:9" x14ac:dyDescent="0.75">
      <c r="H390" s="5"/>
      <c r="I390" s="5"/>
    </row>
    <row r="391" spans="8:9" x14ac:dyDescent="0.75">
      <c r="H391" s="5"/>
      <c r="I391" s="5"/>
    </row>
    <row r="392" spans="8:9" x14ac:dyDescent="0.75">
      <c r="H392" s="5"/>
      <c r="I392" s="5"/>
    </row>
    <row r="393" spans="8:9" x14ac:dyDescent="0.75">
      <c r="H393" s="5"/>
      <c r="I393" s="5"/>
    </row>
    <row r="394" spans="8:9" x14ac:dyDescent="0.75">
      <c r="H394" s="5"/>
      <c r="I394" s="5"/>
    </row>
    <row r="395" spans="8:9" x14ac:dyDescent="0.75">
      <c r="H395" s="5"/>
      <c r="I395" s="5"/>
    </row>
    <row r="396" spans="8:9" x14ac:dyDescent="0.75">
      <c r="H396" s="5"/>
      <c r="I396" s="5"/>
    </row>
    <row r="397" spans="8:9" x14ac:dyDescent="0.75">
      <c r="H397" s="5"/>
      <c r="I397" s="5"/>
    </row>
    <row r="398" spans="8:9" x14ac:dyDescent="0.75">
      <c r="H398" s="5"/>
      <c r="I398" s="5"/>
    </row>
    <row r="399" spans="8:9" x14ac:dyDescent="0.75">
      <c r="H399" s="5"/>
      <c r="I399" s="5"/>
    </row>
    <row r="400" spans="8:9" x14ac:dyDescent="0.75">
      <c r="H400" s="5"/>
      <c r="I400" s="5"/>
    </row>
    <row r="401" spans="8:9" x14ac:dyDescent="0.75">
      <c r="H401" s="5"/>
      <c r="I401" s="5"/>
    </row>
    <row r="402" spans="8:9" x14ac:dyDescent="0.75">
      <c r="H402" s="5"/>
      <c r="I402" s="5"/>
    </row>
    <row r="403" spans="8:9" x14ac:dyDescent="0.75">
      <c r="H403" s="5"/>
      <c r="I403" s="5"/>
    </row>
    <row r="404" spans="8:9" x14ac:dyDescent="0.75">
      <c r="H404" s="5"/>
      <c r="I404" s="5"/>
    </row>
    <row r="405" spans="8:9" x14ac:dyDescent="0.75">
      <c r="H405" s="5"/>
      <c r="I405" s="5"/>
    </row>
    <row r="406" spans="8:9" x14ac:dyDescent="0.75">
      <c r="H406" s="5"/>
      <c r="I406" s="5"/>
    </row>
    <row r="407" spans="8:9" x14ac:dyDescent="0.75">
      <c r="H407" s="5"/>
      <c r="I407" s="5"/>
    </row>
    <row r="408" spans="8:9" x14ac:dyDescent="0.75">
      <c r="H408" s="5"/>
      <c r="I408" s="5"/>
    </row>
    <row r="409" spans="8:9" x14ac:dyDescent="0.75">
      <c r="H409" s="5"/>
      <c r="I409" s="5"/>
    </row>
    <row r="410" spans="8:9" x14ac:dyDescent="0.75">
      <c r="H410" s="5"/>
      <c r="I410" s="5"/>
    </row>
    <row r="411" spans="8:9" x14ac:dyDescent="0.75">
      <c r="H411" s="5"/>
      <c r="I411" s="5"/>
    </row>
    <row r="412" spans="8:9" x14ac:dyDescent="0.75">
      <c r="H412" s="5"/>
      <c r="I412" s="5"/>
    </row>
    <row r="413" spans="8:9" x14ac:dyDescent="0.75">
      <c r="H413" s="5"/>
      <c r="I413" s="5"/>
    </row>
    <row r="414" spans="8:9" x14ac:dyDescent="0.75">
      <c r="H414" s="5"/>
      <c r="I414" s="5"/>
    </row>
    <row r="415" spans="8:9" x14ac:dyDescent="0.75">
      <c r="H415" s="5"/>
      <c r="I415" s="5"/>
    </row>
    <row r="416" spans="8:9" x14ac:dyDescent="0.75">
      <c r="H416" s="5"/>
      <c r="I416" s="5"/>
    </row>
    <row r="417" spans="8:9" x14ac:dyDescent="0.75">
      <c r="H417" s="5"/>
      <c r="I417" s="5"/>
    </row>
    <row r="418" spans="8:9" x14ac:dyDescent="0.75">
      <c r="H418" s="5"/>
      <c r="I418" s="5"/>
    </row>
    <row r="419" spans="8:9" x14ac:dyDescent="0.75">
      <c r="H419" s="5"/>
      <c r="I419" s="5"/>
    </row>
    <row r="420" spans="8:9" x14ac:dyDescent="0.75">
      <c r="H420" s="5"/>
      <c r="I420" s="5"/>
    </row>
    <row r="421" spans="8:9" x14ac:dyDescent="0.75">
      <c r="H421" s="5"/>
      <c r="I421" s="5"/>
    </row>
    <row r="422" spans="8:9" x14ac:dyDescent="0.75">
      <c r="H422" s="5"/>
      <c r="I422" s="5"/>
    </row>
    <row r="423" spans="8:9" x14ac:dyDescent="0.75">
      <c r="H423" s="5"/>
      <c r="I423" s="5"/>
    </row>
    <row r="424" spans="8:9" x14ac:dyDescent="0.75">
      <c r="H424" s="5"/>
      <c r="I424" s="5"/>
    </row>
    <row r="425" spans="8:9" x14ac:dyDescent="0.75">
      <c r="H425" s="5"/>
      <c r="I425" s="5"/>
    </row>
    <row r="426" spans="8:9" x14ac:dyDescent="0.75">
      <c r="H426" s="5"/>
      <c r="I426" s="5"/>
    </row>
    <row r="427" spans="8:9" x14ac:dyDescent="0.75">
      <c r="H427" s="5"/>
      <c r="I427" s="5"/>
    </row>
    <row r="428" spans="8:9" x14ac:dyDescent="0.75">
      <c r="H428" s="5"/>
      <c r="I428" s="5"/>
    </row>
    <row r="429" spans="8:9" x14ac:dyDescent="0.75">
      <c r="H429" s="5"/>
      <c r="I429" s="5"/>
    </row>
    <row r="430" spans="8:9" x14ac:dyDescent="0.75">
      <c r="H430" s="5"/>
      <c r="I430" s="5"/>
    </row>
    <row r="431" spans="8:9" x14ac:dyDescent="0.75">
      <c r="H431" s="5"/>
      <c r="I431" s="5"/>
    </row>
    <row r="432" spans="8:9" x14ac:dyDescent="0.75">
      <c r="H432" s="5"/>
      <c r="I432" s="5"/>
    </row>
    <row r="433" spans="8:9" x14ac:dyDescent="0.75">
      <c r="H433" s="5"/>
      <c r="I433" s="5"/>
    </row>
    <row r="434" spans="8:9" x14ac:dyDescent="0.75">
      <c r="H434" s="5"/>
      <c r="I434" s="5"/>
    </row>
    <row r="435" spans="8:9" x14ac:dyDescent="0.75">
      <c r="H435" s="5"/>
      <c r="I435" s="5"/>
    </row>
    <row r="436" spans="8:9" x14ac:dyDescent="0.75">
      <c r="H436" s="5"/>
      <c r="I436" s="5"/>
    </row>
    <row r="437" spans="8:9" x14ac:dyDescent="0.75">
      <c r="H437" s="5"/>
      <c r="I437" s="5"/>
    </row>
    <row r="438" spans="8:9" x14ac:dyDescent="0.75">
      <c r="H438" s="5"/>
      <c r="I438" s="5"/>
    </row>
    <row r="439" spans="8:9" x14ac:dyDescent="0.75">
      <c r="H439" s="5"/>
      <c r="I439" s="5"/>
    </row>
    <row r="440" spans="8:9" x14ac:dyDescent="0.75">
      <c r="H440" s="5"/>
      <c r="I440" s="5"/>
    </row>
    <row r="441" spans="8:9" x14ac:dyDescent="0.75">
      <c r="H441" s="5"/>
      <c r="I441" s="5"/>
    </row>
    <row r="442" spans="8:9" x14ac:dyDescent="0.75">
      <c r="H442" s="5"/>
      <c r="I442" s="5"/>
    </row>
    <row r="443" spans="8:9" x14ac:dyDescent="0.75">
      <c r="H443" s="5"/>
      <c r="I443" s="5"/>
    </row>
    <row r="444" spans="8:9" x14ac:dyDescent="0.75">
      <c r="H444" s="5"/>
      <c r="I444" s="5"/>
    </row>
    <row r="445" spans="8:9" x14ac:dyDescent="0.75">
      <c r="H445" s="5"/>
      <c r="I445" s="5"/>
    </row>
    <row r="446" spans="8:9" x14ac:dyDescent="0.75">
      <c r="H446" s="5"/>
      <c r="I446" s="5"/>
    </row>
    <row r="447" spans="8:9" x14ac:dyDescent="0.75">
      <c r="H447" s="5"/>
      <c r="I447" s="5"/>
    </row>
    <row r="448" spans="8:9" x14ac:dyDescent="0.75">
      <c r="H448" s="5"/>
      <c r="I448" s="5"/>
    </row>
    <row r="449" spans="8:9" x14ac:dyDescent="0.75">
      <c r="H449" s="5"/>
      <c r="I449" s="5"/>
    </row>
    <row r="450" spans="8:9" x14ac:dyDescent="0.75">
      <c r="H450" s="5"/>
      <c r="I450" s="5"/>
    </row>
    <row r="451" spans="8:9" x14ac:dyDescent="0.75">
      <c r="H451" s="5"/>
      <c r="I451" s="5"/>
    </row>
    <row r="452" spans="8:9" x14ac:dyDescent="0.75">
      <c r="H452" s="5"/>
      <c r="I452" s="5"/>
    </row>
    <row r="453" spans="8:9" x14ac:dyDescent="0.75">
      <c r="H453" s="5"/>
      <c r="I453" s="5"/>
    </row>
    <row r="454" spans="8:9" x14ac:dyDescent="0.75">
      <c r="H454" s="5"/>
      <c r="I454" s="5"/>
    </row>
    <row r="455" spans="8:9" x14ac:dyDescent="0.75">
      <c r="H455" s="5"/>
      <c r="I455" s="5"/>
    </row>
    <row r="456" spans="8:9" x14ac:dyDescent="0.75">
      <c r="H456" s="5"/>
      <c r="I456" s="5"/>
    </row>
    <row r="457" spans="8:9" x14ac:dyDescent="0.75">
      <c r="H457" s="5"/>
      <c r="I457" s="5"/>
    </row>
    <row r="458" spans="8:9" x14ac:dyDescent="0.75">
      <c r="H458" s="5"/>
      <c r="I458" s="5"/>
    </row>
    <row r="459" spans="8:9" x14ac:dyDescent="0.75">
      <c r="H459" s="5"/>
      <c r="I459" s="5"/>
    </row>
    <row r="460" spans="8:9" x14ac:dyDescent="0.75">
      <c r="H460" s="5"/>
      <c r="I460" s="5"/>
    </row>
    <row r="461" spans="8:9" x14ac:dyDescent="0.75">
      <c r="H461" s="5"/>
      <c r="I461" s="5"/>
    </row>
    <row r="462" spans="8:9" x14ac:dyDescent="0.75">
      <c r="H462" s="5"/>
      <c r="I462" s="5"/>
    </row>
    <row r="463" spans="8:9" x14ac:dyDescent="0.75">
      <c r="H463" s="5"/>
      <c r="I463" s="5"/>
    </row>
    <row r="464" spans="8:9" x14ac:dyDescent="0.75">
      <c r="H464" s="5"/>
      <c r="I464" s="5"/>
    </row>
    <row r="465" spans="8:9" x14ac:dyDescent="0.75">
      <c r="H465" s="5"/>
      <c r="I465" s="5"/>
    </row>
    <row r="466" spans="8:9" x14ac:dyDescent="0.75">
      <c r="H466" s="5"/>
      <c r="I466" s="5"/>
    </row>
    <row r="467" spans="8:9" x14ac:dyDescent="0.75">
      <c r="H467" s="5"/>
      <c r="I467" s="5"/>
    </row>
    <row r="468" spans="8:9" x14ac:dyDescent="0.75">
      <c r="H468" s="5"/>
      <c r="I468" s="5"/>
    </row>
    <row r="469" spans="8:9" x14ac:dyDescent="0.75">
      <c r="H469" s="5"/>
      <c r="I469" s="5"/>
    </row>
    <row r="470" spans="8:9" x14ac:dyDescent="0.75">
      <c r="H470" s="5"/>
      <c r="I470" s="5"/>
    </row>
    <row r="471" spans="8:9" x14ac:dyDescent="0.75">
      <c r="H471" s="5"/>
      <c r="I471" s="5"/>
    </row>
    <row r="472" spans="8:9" x14ac:dyDescent="0.75">
      <c r="H472" s="5"/>
      <c r="I472" s="5"/>
    </row>
    <row r="473" spans="8:9" x14ac:dyDescent="0.75">
      <c r="H473" s="5"/>
      <c r="I473" s="5"/>
    </row>
    <row r="474" spans="8:9" x14ac:dyDescent="0.75">
      <c r="H474" s="5"/>
      <c r="I474" s="5"/>
    </row>
    <row r="475" spans="8:9" x14ac:dyDescent="0.75">
      <c r="H475" s="5"/>
      <c r="I475" s="5"/>
    </row>
    <row r="476" spans="8:9" x14ac:dyDescent="0.75">
      <c r="H476" s="5"/>
      <c r="I476" s="5"/>
    </row>
    <row r="477" spans="8:9" x14ac:dyDescent="0.75">
      <c r="H477" s="5"/>
      <c r="I477" s="5"/>
    </row>
    <row r="478" spans="8:9" x14ac:dyDescent="0.75">
      <c r="H478" s="5"/>
      <c r="I478" s="5"/>
    </row>
    <row r="479" spans="8:9" x14ac:dyDescent="0.75">
      <c r="H479" s="5"/>
      <c r="I479" s="5"/>
    </row>
    <row r="480" spans="8:9" x14ac:dyDescent="0.75">
      <c r="H480" s="5"/>
      <c r="I480" s="5"/>
    </row>
    <row r="481" spans="8:9" x14ac:dyDescent="0.75">
      <c r="H481" s="5"/>
      <c r="I481" s="5"/>
    </row>
    <row r="482" spans="8:9" x14ac:dyDescent="0.75">
      <c r="H482" s="5"/>
      <c r="I482" s="5"/>
    </row>
    <row r="483" spans="8:9" x14ac:dyDescent="0.75">
      <c r="H483" s="5"/>
      <c r="I483" s="5"/>
    </row>
    <row r="484" spans="8:9" x14ac:dyDescent="0.75">
      <c r="H484" s="5"/>
      <c r="I484" s="5"/>
    </row>
    <row r="485" spans="8:9" x14ac:dyDescent="0.75">
      <c r="H485" s="5"/>
      <c r="I485" s="5"/>
    </row>
    <row r="486" spans="8:9" x14ac:dyDescent="0.75">
      <c r="H486" s="5"/>
      <c r="I486" s="5"/>
    </row>
    <row r="487" spans="8:9" x14ac:dyDescent="0.75">
      <c r="H487" s="5"/>
      <c r="I487" s="5"/>
    </row>
    <row r="488" spans="8:9" x14ac:dyDescent="0.75">
      <c r="H488" s="5"/>
      <c r="I488" s="5"/>
    </row>
    <row r="489" spans="8:9" x14ac:dyDescent="0.75">
      <c r="H489" s="5"/>
      <c r="I489" s="5"/>
    </row>
    <row r="490" spans="8:9" x14ac:dyDescent="0.75">
      <c r="H490" s="5"/>
      <c r="I490" s="5"/>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E4E30-D577-4FF4-BE41-D4E672ECE1E9}">
  <dimension ref="A1:K70"/>
  <sheetViews>
    <sheetView zoomScale="55" zoomScaleNormal="55" workbookViewId="0">
      <selection activeCell="M11" sqref="M11"/>
    </sheetView>
  </sheetViews>
  <sheetFormatPr defaultRowHeight="14.75" x14ac:dyDescent="0.75"/>
  <cols>
    <col min="1" max="1" width="10.453125" bestFit="1" customWidth="1"/>
    <col min="2" max="2" width="10.453125" customWidth="1"/>
    <col min="3" max="3" width="17" bestFit="1" customWidth="1"/>
    <col min="7" max="7" width="20.81640625" bestFit="1" customWidth="1"/>
    <col min="8" max="8" width="22.7265625" bestFit="1" customWidth="1"/>
    <col min="9" max="9" width="19.26953125" bestFit="1" customWidth="1"/>
  </cols>
  <sheetData>
    <row r="1" spans="1:11" x14ac:dyDescent="0.75">
      <c r="A1" s="3" t="s">
        <v>25</v>
      </c>
      <c r="B1" s="3" t="s">
        <v>86</v>
      </c>
      <c r="C1" s="3" t="s">
        <v>62</v>
      </c>
      <c r="D1" s="3" t="s">
        <v>59</v>
      </c>
      <c r="E1" s="3" t="s">
        <v>4</v>
      </c>
      <c r="F1" s="3" t="s">
        <v>5</v>
      </c>
      <c r="G1" s="3" t="s">
        <v>52</v>
      </c>
      <c r="H1" s="3" t="s">
        <v>53</v>
      </c>
      <c r="I1" s="3" t="s">
        <v>37</v>
      </c>
      <c r="J1" s="3" t="s">
        <v>73</v>
      </c>
      <c r="K1" s="3" t="s">
        <v>7</v>
      </c>
    </row>
    <row r="2" spans="1:11" x14ac:dyDescent="0.75">
      <c r="A2" t="s">
        <v>80</v>
      </c>
      <c r="B2">
        <v>6</v>
      </c>
      <c r="C2">
        <v>30.5</v>
      </c>
      <c r="D2" t="s">
        <v>63</v>
      </c>
      <c r="E2">
        <f>5/5</f>
        <v>1</v>
      </c>
      <c r="F2" s="2">
        <v>0.36458333333333331</v>
      </c>
      <c r="G2">
        <v>5</v>
      </c>
      <c r="H2">
        <v>5</v>
      </c>
      <c r="I2">
        <v>1.3</v>
      </c>
      <c r="J2" t="s">
        <v>74</v>
      </c>
      <c r="K2" t="s">
        <v>66</v>
      </c>
    </row>
    <row r="3" spans="1:11" x14ac:dyDescent="0.75">
      <c r="A3" t="s">
        <v>80</v>
      </c>
      <c r="B3">
        <v>6</v>
      </c>
      <c r="C3">
        <v>30.5</v>
      </c>
      <c r="D3" t="s">
        <v>64</v>
      </c>
      <c r="E3">
        <f>5/5</f>
        <v>1</v>
      </c>
      <c r="F3" s="2">
        <v>0.36458333333333331</v>
      </c>
      <c r="G3">
        <v>5</v>
      </c>
      <c r="H3">
        <v>5</v>
      </c>
      <c r="I3">
        <v>1.3</v>
      </c>
      <c r="J3" t="s">
        <v>74</v>
      </c>
      <c r="K3" t="s">
        <v>66</v>
      </c>
    </row>
    <row r="4" spans="1:11" x14ac:dyDescent="0.75">
      <c r="A4" t="s">
        <v>80</v>
      </c>
      <c r="B4">
        <v>6</v>
      </c>
      <c r="C4">
        <v>30.5</v>
      </c>
      <c r="D4" t="s">
        <v>65</v>
      </c>
      <c r="E4">
        <f>5/5</f>
        <v>1</v>
      </c>
      <c r="F4" s="2">
        <v>0.36458333333333298</v>
      </c>
      <c r="G4">
        <v>5</v>
      </c>
      <c r="H4">
        <v>5</v>
      </c>
      <c r="I4">
        <v>1.6</v>
      </c>
      <c r="J4" t="s">
        <v>74</v>
      </c>
      <c r="K4" t="s">
        <v>66</v>
      </c>
    </row>
    <row r="5" spans="1:11" x14ac:dyDescent="0.75">
      <c r="A5" t="s">
        <v>80</v>
      </c>
      <c r="B5">
        <v>5</v>
      </c>
      <c r="C5">
        <v>30.5</v>
      </c>
      <c r="D5" t="s">
        <v>67</v>
      </c>
      <c r="E5">
        <f>4/5</f>
        <v>0.8</v>
      </c>
      <c r="F5" s="2">
        <v>0.36458333333333298</v>
      </c>
      <c r="G5">
        <v>5</v>
      </c>
      <c r="H5">
        <v>5</v>
      </c>
      <c r="I5">
        <v>1.2</v>
      </c>
      <c r="J5" t="s">
        <v>74</v>
      </c>
      <c r="K5" t="s">
        <v>66</v>
      </c>
    </row>
    <row r="6" spans="1:11" x14ac:dyDescent="0.75">
      <c r="A6" t="s">
        <v>80</v>
      </c>
      <c r="B6">
        <v>5</v>
      </c>
      <c r="C6">
        <v>30.5</v>
      </c>
      <c r="D6" t="s">
        <v>69</v>
      </c>
      <c r="E6">
        <f>4/5</f>
        <v>0.8</v>
      </c>
      <c r="F6" s="2">
        <v>0.36458333333333298</v>
      </c>
      <c r="G6">
        <v>5</v>
      </c>
      <c r="H6">
        <v>5</v>
      </c>
      <c r="I6">
        <v>1</v>
      </c>
      <c r="J6" t="s">
        <v>74</v>
      </c>
      <c r="K6" t="s">
        <v>66</v>
      </c>
    </row>
    <row r="7" spans="1:11" x14ac:dyDescent="0.75">
      <c r="A7" t="s">
        <v>80</v>
      </c>
      <c r="B7">
        <v>5</v>
      </c>
      <c r="C7">
        <v>30.5</v>
      </c>
      <c r="D7" t="s">
        <v>70</v>
      </c>
      <c r="E7">
        <f>5/5</f>
        <v>1</v>
      </c>
      <c r="F7" s="2">
        <v>0.36458333333333298</v>
      </c>
      <c r="G7">
        <v>5</v>
      </c>
      <c r="H7">
        <v>5</v>
      </c>
      <c r="I7">
        <v>1.3</v>
      </c>
      <c r="J7" t="s">
        <v>74</v>
      </c>
      <c r="K7" t="s">
        <v>66</v>
      </c>
    </row>
    <row r="8" spans="1:11" x14ac:dyDescent="0.75">
      <c r="A8" t="s">
        <v>80</v>
      </c>
      <c r="B8">
        <v>4</v>
      </c>
      <c r="C8">
        <v>30.6</v>
      </c>
      <c r="D8" t="s">
        <v>68</v>
      </c>
      <c r="E8">
        <f>3/5</f>
        <v>0.6</v>
      </c>
      <c r="F8" s="2">
        <v>0.36458333333333298</v>
      </c>
      <c r="G8">
        <v>5</v>
      </c>
      <c r="H8">
        <v>5</v>
      </c>
      <c r="I8">
        <v>1</v>
      </c>
      <c r="J8" t="s">
        <v>74</v>
      </c>
      <c r="K8" t="s">
        <v>76</v>
      </c>
    </row>
    <row r="9" spans="1:11" x14ac:dyDescent="0.75">
      <c r="A9" t="s">
        <v>80</v>
      </c>
      <c r="B9">
        <v>4</v>
      </c>
      <c r="C9">
        <v>30.6</v>
      </c>
      <c r="D9" t="s">
        <v>77</v>
      </c>
      <c r="E9">
        <f>5/5</f>
        <v>1</v>
      </c>
      <c r="F9" s="2">
        <v>0.36458333333333298</v>
      </c>
      <c r="G9">
        <v>5</v>
      </c>
      <c r="H9">
        <v>5</v>
      </c>
      <c r="I9">
        <v>1.2</v>
      </c>
      <c r="J9" t="s">
        <v>74</v>
      </c>
      <c r="K9" t="s">
        <v>76</v>
      </c>
    </row>
    <row r="10" spans="1:11" x14ac:dyDescent="0.75">
      <c r="A10" t="s">
        <v>80</v>
      </c>
      <c r="B10">
        <v>4</v>
      </c>
      <c r="C10">
        <v>30.6</v>
      </c>
      <c r="D10" t="s">
        <v>78</v>
      </c>
      <c r="E10">
        <f>2/5</f>
        <v>0.4</v>
      </c>
      <c r="F10" s="2">
        <v>0.36458333333333298</v>
      </c>
      <c r="G10">
        <v>5</v>
      </c>
      <c r="H10">
        <v>5</v>
      </c>
      <c r="I10">
        <v>1.4</v>
      </c>
      <c r="J10" t="s">
        <v>74</v>
      </c>
      <c r="K10" t="s">
        <v>76</v>
      </c>
    </row>
    <row r="11" spans="1:11" x14ac:dyDescent="0.75">
      <c r="A11" t="s">
        <v>80</v>
      </c>
      <c r="B11">
        <v>3</v>
      </c>
      <c r="C11">
        <v>31.5</v>
      </c>
      <c r="D11" t="s">
        <v>68</v>
      </c>
      <c r="E11">
        <f>0/5</f>
        <v>0</v>
      </c>
      <c r="F11" s="2">
        <v>0.36458333333333298</v>
      </c>
      <c r="G11">
        <v>5</v>
      </c>
      <c r="H11">
        <v>5</v>
      </c>
      <c r="I11">
        <v>1.2</v>
      </c>
      <c r="J11" t="s">
        <v>79</v>
      </c>
      <c r="K11" t="s">
        <v>8</v>
      </c>
    </row>
    <row r="12" spans="1:11" x14ac:dyDescent="0.75">
      <c r="A12" t="s">
        <v>80</v>
      </c>
      <c r="B12">
        <v>3</v>
      </c>
      <c r="C12">
        <v>31.5</v>
      </c>
      <c r="D12" t="s">
        <v>77</v>
      </c>
      <c r="E12">
        <f>2/5</f>
        <v>0.4</v>
      </c>
      <c r="F12" s="2">
        <v>0.36458333333333298</v>
      </c>
      <c r="G12">
        <v>5</v>
      </c>
      <c r="H12">
        <v>5</v>
      </c>
      <c r="I12">
        <v>1</v>
      </c>
      <c r="J12" t="s">
        <v>79</v>
      </c>
      <c r="K12" t="s">
        <v>8</v>
      </c>
    </row>
    <row r="13" spans="1:11" x14ac:dyDescent="0.75">
      <c r="A13" t="s">
        <v>80</v>
      </c>
      <c r="B13">
        <v>3</v>
      </c>
      <c r="C13">
        <v>31.5</v>
      </c>
      <c r="D13" t="s">
        <v>78</v>
      </c>
      <c r="E13">
        <f>2/5</f>
        <v>0.4</v>
      </c>
      <c r="F13" s="2">
        <v>0.36458333333333298</v>
      </c>
      <c r="G13">
        <v>5</v>
      </c>
      <c r="H13">
        <v>5</v>
      </c>
      <c r="I13">
        <v>1.6</v>
      </c>
      <c r="J13" t="s">
        <v>79</v>
      </c>
      <c r="K13" t="s">
        <v>8</v>
      </c>
    </row>
    <row r="14" spans="1:11" x14ac:dyDescent="0.75">
      <c r="A14" t="s">
        <v>80</v>
      </c>
      <c r="B14">
        <v>2</v>
      </c>
      <c r="C14">
        <v>32</v>
      </c>
      <c r="D14" t="s">
        <v>68</v>
      </c>
      <c r="E14">
        <f>0/5</f>
        <v>0</v>
      </c>
      <c r="F14" s="2">
        <v>0.36458333333333298</v>
      </c>
      <c r="G14">
        <v>5</v>
      </c>
      <c r="H14">
        <v>5</v>
      </c>
      <c r="I14">
        <v>0.8</v>
      </c>
      <c r="J14" t="s">
        <v>79</v>
      </c>
      <c r="K14" t="s">
        <v>8</v>
      </c>
    </row>
    <row r="15" spans="1:11" x14ac:dyDescent="0.75">
      <c r="A15" t="s">
        <v>80</v>
      </c>
      <c r="B15">
        <v>2</v>
      </c>
      <c r="C15">
        <v>32</v>
      </c>
      <c r="D15" t="s">
        <v>77</v>
      </c>
      <c r="E15">
        <f>0/5</f>
        <v>0</v>
      </c>
      <c r="F15" s="2">
        <v>0.36458333333333298</v>
      </c>
      <c r="G15">
        <v>5</v>
      </c>
      <c r="H15">
        <v>5</v>
      </c>
      <c r="I15">
        <v>1.1000000000000001</v>
      </c>
      <c r="J15" t="s">
        <v>79</v>
      </c>
      <c r="K15" t="s">
        <v>8</v>
      </c>
    </row>
    <row r="16" spans="1:11" x14ac:dyDescent="0.75">
      <c r="A16" t="s">
        <v>80</v>
      </c>
      <c r="B16">
        <v>2</v>
      </c>
      <c r="C16">
        <v>32</v>
      </c>
      <c r="D16" t="s">
        <v>78</v>
      </c>
      <c r="E16">
        <f>2/5</f>
        <v>0.4</v>
      </c>
      <c r="F16" s="2">
        <v>0.36458333333333298</v>
      </c>
      <c r="G16">
        <v>5</v>
      </c>
      <c r="H16">
        <v>5</v>
      </c>
      <c r="I16">
        <v>1.7</v>
      </c>
      <c r="J16" t="s">
        <v>79</v>
      </c>
      <c r="K16" t="s">
        <v>8</v>
      </c>
    </row>
    <row r="17" spans="1:11" x14ac:dyDescent="0.75">
      <c r="A17" t="s">
        <v>80</v>
      </c>
      <c r="B17">
        <v>1</v>
      </c>
      <c r="C17">
        <v>32.5</v>
      </c>
      <c r="D17" t="s">
        <v>68</v>
      </c>
      <c r="E17">
        <f>1/5</f>
        <v>0.2</v>
      </c>
      <c r="F17" s="2">
        <v>0.36458333333333298</v>
      </c>
      <c r="G17">
        <v>5</v>
      </c>
      <c r="H17">
        <v>5</v>
      </c>
      <c r="I17">
        <v>1</v>
      </c>
      <c r="J17" t="s">
        <v>79</v>
      </c>
      <c r="K17" t="s">
        <v>8</v>
      </c>
    </row>
    <row r="18" spans="1:11" x14ac:dyDescent="0.75">
      <c r="A18" t="s">
        <v>80</v>
      </c>
      <c r="B18">
        <v>1</v>
      </c>
      <c r="C18">
        <v>32.5</v>
      </c>
      <c r="D18" t="s">
        <v>77</v>
      </c>
      <c r="E18">
        <f>1/5</f>
        <v>0.2</v>
      </c>
      <c r="F18" s="2">
        <v>0.36458333333333298</v>
      </c>
      <c r="G18">
        <v>5</v>
      </c>
      <c r="H18">
        <v>5</v>
      </c>
      <c r="I18">
        <v>0.9</v>
      </c>
      <c r="J18" t="s">
        <v>79</v>
      </c>
      <c r="K18" t="s">
        <v>8</v>
      </c>
    </row>
    <row r="19" spans="1:11" x14ac:dyDescent="0.75">
      <c r="A19" t="s">
        <v>80</v>
      </c>
      <c r="B19">
        <v>1</v>
      </c>
      <c r="C19">
        <v>32.5</v>
      </c>
      <c r="D19" t="s">
        <v>78</v>
      </c>
      <c r="E19">
        <f>0/5</f>
        <v>0</v>
      </c>
      <c r="F19" s="2">
        <v>0.36458333333333298</v>
      </c>
      <c r="G19">
        <v>5</v>
      </c>
      <c r="H19">
        <v>5</v>
      </c>
      <c r="I19">
        <v>1.4</v>
      </c>
      <c r="J19" t="s">
        <v>79</v>
      </c>
      <c r="K19" t="s">
        <v>8</v>
      </c>
    </row>
    <row r="20" spans="1:11" x14ac:dyDescent="0.75">
      <c r="A20" t="s">
        <v>81</v>
      </c>
      <c r="B20">
        <v>6</v>
      </c>
      <c r="C20">
        <v>31</v>
      </c>
      <c r="D20" t="s">
        <v>63</v>
      </c>
      <c r="E20">
        <f>3/5</f>
        <v>0.6</v>
      </c>
      <c r="F20" s="2">
        <v>0.3923611111111111</v>
      </c>
      <c r="G20">
        <v>5</v>
      </c>
      <c r="H20">
        <v>5</v>
      </c>
      <c r="I20">
        <v>1.19</v>
      </c>
      <c r="J20" t="s">
        <v>79</v>
      </c>
      <c r="K20" t="s">
        <v>8</v>
      </c>
    </row>
    <row r="21" spans="1:11" x14ac:dyDescent="0.75">
      <c r="A21" t="s">
        <v>81</v>
      </c>
      <c r="B21">
        <v>6</v>
      </c>
      <c r="C21">
        <v>31</v>
      </c>
      <c r="D21" t="s">
        <v>64</v>
      </c>
      <c r="E21">
        <f>5/5</f>
        <v>1</v>
      </c>
      <c r="F21" s="2">
        <v>0.3923611111111111</v>
      </c>
      <c r="G21">
        <v>5</v>
      </c>
      <c r="H21">
        <v>5</v>
      </c>
      <c r="I21">
        <v>1.25</v>
      </c>
      <c r="J21" t="s">
        <v>79</v>
      </c>
      <c r="K21" t="s">
        <v>8</v>
      </c>
    </row>
    <row r="22" spans="1:11" x14ac:dyDescent="0.75">
      <c r="A22" t="s">
        <v>81</v>
      </c>
      <c r="B22">
        <v>6</v>
      </c>
      <c r="C22">
        <v>31</v>
      </c>
      <c r="D22" t="s">
        <v>65</v>
      </c>
      <c r="E22">
        <f>3/5</f>
        <v>0.6</v>
      </c>
      <c r="F22" s="2">
        <v>0.39236111111111099</v>
      </c>
      <c r="G22">
        <v>5</v>
      </c>
      <c r="H22">
        <v>5</v>
      </c>
      <c r="I22">
        <v>1.1399999999999999</v>
      </c>
      <c r="J22" t="s">
        <v>79</v>
      </c>
      <c r="K22" t="s">
        <v>8</v>
      </c>
    </row>
    <row r="23" spans="1:11" x14ac:dyDescent="0.75">
      <c r="A23" t="s">
        <v>81</v>
      </c>
      <c r="B23">
        <v>5</v>
      </c>
      <c r="C23">
        <v>31</v>
      </c>
      <c r="D23" t="s">
        <v>67</v>
      </c>
      <c r="E23">
        <f>5/5</f>
        <v>1</v>
      </c>
      <c r="F23" s="2">
        <v>0.39236111111111099</v>
      </c>
      <c r="G23">
        <v>5</v>
      </c>
      <c r="H23">
        <v>5</v>
      </c>
      <c r="I23">
        <v>1.25</v>
      </c>
      <c r="J23" t="s">
        <v>79</v>
      </c>
      <c r="K23" t="s">
        <v>8</v>
      </c>
    </row>
    <row r="24" spans="1:11" x14ac:dyDescent="0.75">
      <c r="A24" t="s">
        <v>81</v>
      </c>
      <c r="B24">
        <v>5</v>
      </c>
      <c r="C24">
        <v>31</v>
      </c>
      <c r="D24" t="s">
        <v>69</v>
      </c>
      <c r="E24">
        <f>3/5</f>
        <v>0.6</v>
      </c>
      <c r="F24" s="2">
        <v>0.39236111111111099</v>
      </c>
      <c r="G24">
        <v>5</v>
      </c>
      <c r="H24">
        <v>5</v>
      </c>
      <c r="I24">
        <v>1.1499999999999999</v>
      </c>
      <c r="J24" t="s">
        <v>79</v>
      </c>
      <c r="K24" t="s">
        <v>8</v>
      </c>
    </row>
    <row r="25" spans="1:11" x14ac:dyDescent="0.75">
      <c r="A25" t="s">
        <v>81</v>
      </c>
      <c r="B25">
        <v>5</v>
      </c>
      <c r="C25">
        <v>31</v>
      </c>
      <c r="D25" t="s">
        <v>70</v>
      </c>
      <c r="E25">
        <f>4/5</f>
        <v>0.8</v>
      </c>
      <c r="F25" s="2">
        <v>0.39236111111111099</v>
      </c>
      <c r="G25">
        <v>5</v>
      </c>
      <c r="H25">
        <v>5</v>
      </c>
      <c r="I25">
        <v>1</v>
      </c>
      <c r="J25" t="s">
        <v>79</v>
      </c>
      <c r="K25" t="s">
        <v>8</v>
      </c>
    </row>
    <row r="26" spans="1:11" x14ac:dyDescent="0.75">
      <c r="A26" t="s">
        <v>81</v>
      </c>
      <c r="B26">
        <v>4</v>
      </c>
      <c r="C26">
        <v>31.5</v>
      </c>
      <c r="D26" t="s">
        <v>68</v>
      </c>
      <c r="E26">
        <f>3/5</f>
        <v>0.6</v>
      </c>
      <c r="F26" s="2">
        <v>0.39236111111111099</v>
      </c>
      <c r="G26">
        <v>5</v>
      </c>
      <c r="H26">
        <v>5</v>
      </c>
      <c r="I26">
        <v>1.1200000000000001</v>
      </c>
      <c r="J26" t="s">
        <v>79</v>
      </c>
      <c r="K26" t="s">
        <v>8</v>
      </c>
    </row>
    <row r="27" spans="1:11" x14ac:dyDescent="0.75">
      <c r="A27" t="s">
        <v>81</v>
      </c>
      <c r="B27">
        <v>4</v>
      </c>
      <c r="C27">
        <v>31.5</v>
      </c>
      <c r="D27" t="s">
        <v>77</v>
      </c>
      <c r="E27">
        <f>3/5</f>
        <v>0.6</v>
      </c>
      <c r="F27" s="2">
        <v>0.39236111111111099</v>
      </c>
      <c r="G27">
        <v>5</v>
      </c>
      <c r="H27">
        <v>5</v>
      </c>
      <c r="I27">
        <v>1.33</v>
      </c>
      <c r="J27" t="s">
        <v>79</v>
      </c>
      <c r="K27" t="s">
        <v>8</v>
      </c>
    </row>
    <row r="28" spans="1:11" x14ac:dyDescent="0.75">
      <c r="A28" t="s">
        <v>81</v>
      </c>
      <c r="B28">
        <v>4</v>
      </c>
      <c r="C28">
        <v>31.5</v>
      </c>
      <c r="D28" t="s">
        <v>78</v>
      </c>
      <c r="E28">
        <f>5/5</f>
        <v>1</v>
      </c>
      <c r="F28" s="2">
        <v>0.39236111111111099</v>
      </c>
      <c r="G28">
        <v>5</v>
      </c>
      <c r="H28">
        <v>5</v>
      </c>
      <c r="I28">
        <v>1.37</v>
      </c>
      <c r="J28" t="s">
        <v>79</v>
      </c>
      <c r="K28" t="s">
        <v>8</v>
      </c>
    </row>
    <row r="29" spans="1:11" x14ac:dyDescent="0.75">
      <c r="A29" t="s">
        <v>81</v>
      </c>
      <c r="B29">
        <v>3</v>
      </c>
      <c r="C29">
        <v>32</v>
      </c>
      <c r="D29" t="s">
        <v>68</v>
      </c>
      <c r="E29">
        <f>3/5</f>
        <v>0.6</v>
      </c>
      <c r="F29" s="2">
        <v>0.39236111111111099</v>
      </c>
      <c r="G29">
        <v>5</v>
      </c>
      <c r="H29">
        <v>5</v>
      </c>
      <c r="I29">
        <v>1.18</v>
      </c>
      <c r="J29" t="s">
        <v>79</v>
      </c>
      <c r="K29" t="s">
        <v>8</v>
      </c>
    </row>
    <row r="30" spans="1:11" x14ac:dyDescent="0.75">
      <c r="A30" t="s">
        <v>81</v>
      </c>
      <c r="B30">
        <v>3</v>
      </c>
      <c r="C30">
        <v>32</v>
      </c>
      <c r="D30" t="s">
        <v>77</v>
      </c>
      <c r="E30">
        <f>3/5</f>
        <v>0.6</v>
      </c>
      <c r="F30" s="2">
        <v>0.39236111111111099</v>
      </c>
      <c r="G30">
        <v>5</v>
      </c>
      <c r="H30">
        <v>5</v>
      </c>
      <c r="I30">
        <v>1.23</v>
      </c>
      <c r="J30" t="s">
        <v>79</v>
      </c>
      <c r="K30" t="s">
        <v>8</v>
      </c>
    </row>
    <row r="31" spans="1:11" x14ac:dyDescent="0.75">
      <c r="A31" t="s">
        <v>81</v>
      </c>
      <c r="B31">
        <v>3</v>
      </c>
      <c r="C31">
        <v>32</v>
      </c>
      <c r="D31" t="s">
        <v>78</v>
      </c>
      <c r="E31">
        <f>0/5</f>
        <v>0</v>
      </c>
      <c r="F31" s="2">
        <v>0.39236111111111099</v>
      </c>
      <c r="G31">
        <v>5</v>
      </c>
      <c r="H31">
        <v>5</v>
      </c>
      <c r="I31">
        <v>1.06</v>
      </c>
      <c r="J31" t="s">
        <v>79</v>
      </c>
      <c r="K31" t="s">
        <v>8</v>
      </c>
    </row>
    <row r="32" spans="1:11" x14ac:dyDescent="0.75">
      <c r="A32" t="s">
        <v>81</v>
      </c>
      <c r="B32">
        <v>1</v>
      </c>
      <c r="C32">
        <v>32.5</v>
      </c>
      <c r="D32" t="s">
        <v>63</v>
      </c>
      <c r="E32">
        <f>1/5</f>
        <v>0.2</v>
      </c>
      <c r="F32" s="2">
        <v>0.39236111111111099</v>
      </c>
      <c r="G32">
        <v>5</v>
      </c>
      <c r="H32">
        <v>5</v>
      </c>
      <c r="I32">
        <v>1.35</v>
      </c>
      <c r="J32" t="s">
        <v>79</v>
      </c>
      <c r="K32" t="s">
        <v>8</v>
      </c>
    </row>
    <row r="33" spans="1:11" x14ac:dyDescent="0.75">
      <c r="A33" t="s">
        <v>81</v>
      </c>
      <c r="B33">
        <v>1</v>
      </c>
      <c r="C33">
        <v>32.5</v>
      </c>
      <c r="D33" t="s">
        <v>64</v>
      </c>
      <c r="E33">
        <f>0/5</f>
        <v>0</v>
      </c>
      <c r="F33" s="2">
        <v>0.39236111111111099</v>
      </c>
      <c r="G33">
        <v>5</v>
      </c>
      <c r="H33">
        <v>5</v>
      </c>
      <c r="I33">
        <v>1.22</v>
      </c>
      <c r="J33" t="s">
        <v>79</v>
      </c>
      <c r="K33" t="s">
        <v>8</v>
      </c>
    </row>
    <row r="34" spans="1:11" x14ac:dyDescent="0.75">
      <c r="A34" t="s">
        <v>81</v>
      </c>
      <c r="B34">
        <v>1</v>
      </c>
      <c r="C34">
        <v>32.5</v>
      </c>
      <c r="D34" t="s">
        <v>65</v>
      </c>
      <c r="E34">
        <f>0/5</f>
        <v>0</v>
      </c>
      <c r="F34" s="2">
        <v>0.39236111111111099</v>
      </c>
      <c r="G34">
        <v>5</v>
      </c>
      <c r="H34">
        <v>5</v>
      </c>
      <c r="I34">
        <v>0.97</v>
      </c>
      <c r="J34" t="s">
        <v>79</v>
      </c>
      <c r="K34" t="s">
        <v>8</v>
      </c>
    </row>
    <row r="35" spans="1:11" x14ac:dyDescent="0.75">
      <c r="A35" t="s">
        <v>81</v>
      </c>
      <c r="B35">
        <v>2</v>
      </c>
      <c r="C35">
        <v>32.5</v>
      </c>
      <c r="D35" t="s">
        <v>67</v>
      </c>
      <c r="E35">
        <f>1/5</f>
        <v>0.2</v>
      </c>
      <c r="F35" s="2">
        <v>0.39236111111111099</v>
      </c>
      <c r="G35">
        <v>5</v>
      </c>
      <c r="H35">
        <v>5</v>
      </c>
      <c r="I35">
        <v>1.1499999999999999</v>
      </c>
      <c r="J35" t="s">
        <v>79</v>
      </c>
      <c r="K35" t="s">
        <v>8</v>
      </c>
    </row>
    <row r="36" spans="1:11" x14ac:dyDescent="0.75">
      <c r="A36" t="s">
        <v>81</v>
      </c>
      <c r="B36">
        <v>2</v>
      </c>
      <c r="C36">
        <v>32.5</v>
      </c>
      <c r="D36" t="s">
        <v>69</v>
      </c>
      <c r="E36">
        <f>2/5</f>
        <v>0.4</v>
      </c>
      <c r="F36" s="2">
        <v>0.39236111111111099</v>
      </c>
      <c r="G36">
        <v>5</v>
      </c>
      <c r="H36">
        <v>5</v>
      </c>
      <c r="I36">
        <v>1.23</v>
      </c>
      <c r="J36" t="s">
        <v>79</v>
      </c>
      <c r="K36" t="s">
        <v>85</v>
      </c>
    </row>
    <row r="37" spans="1:11" x14ac:dyDescent="0.75">
      <c r="A37" t="s">
        <v>81</v>
      </c>
      <c r="B37">
        <v>2</v>
      </c>
      <c r="C37">
        <v>32.5</v>
      </c>
      <c r="D37" t="s">
        <v>70</v>
      </c>
      <c r="E37">
        <f>1/5</f>
        <v>0.2</v>
      </c>
      <c r="F37" s="2">
        <v>0.39236111111111099</v>
      </c>
      <c r="G37">
        <v>5</v>
      </c>
      <c r="H37">
        <v>5</v>
      </c>
      <c r="I37">
        <v>1.01</v>
      </c>
      <c r="J37" t="s">
        <v>79</v>
      </c>
      <c r="K37" t="s">
        <v>8</v>
      </c>
    </row>
    <row r="38" spans="1:11" x14ac:dyDescent="0.75">
      <c r="A38" t="s">
        <v>81</v>
      </c>
      <c r="B38">
        <v>6</v>
      </c>
      <c r="C38">
        <v>32.5</v>
      </c>
      <c r="D38" t="s">
        <v>88</v>
      </c>
      <c r="E38">
        <f>0/5</f>
        <v>0</v>
      </c>
      <c r="F38" s="2">
        <v>0.39236111111111099</v>
      </c>
      <c r="G38">
        <v>5</v>
      </c>
      <c r="H38">
        <v>5</v>
      </c>
      <c r="I38">
        <v>1.19</v>
      </c>
      <c r="J38" t="s">
        <v>79</v>
      </c>
      <c r="K38" t="s">
        <v>8</v>
      </c>
    </row>
    <row r="39" spans="1:11" x14ac:dyDescent="0.75">
      <c r="A39" t="s">
        <v>81</v>
      </c>
      <c r="B39">
        <v>6</v>
      </c>
      <c r="C39">
        <v>32.5</v>
      </c>
      <c r="D39" t="s">
        <v>89</v>
      </c>
      <c r="E39">
        <f>0/5</f>
        <v>0</v>
      </c>
      <c r="F39" s="2">
        <v>0.39236111111111099</v>
      </c>
      <c r="G39">
        <v>5</v>
      </c>
      <c r="H39">
        <v>5</v>
      </c>
      <c r="I39">
        <v>1.27</v>
      </c>
      <c r="J39" t="s">
        <v>79</v>
      </c>
      <c r="K39" t="s">
        <v>8</v>
      </c>
    </row>
    <row r="40" spans="1:11" x14ac:dyDescent="0.75">
      <c r="A40" t="s">
        <v>81</v>
      </c>
      <c r="B40">
        <v>6</v>
      </c>
      <c r="C40">
        <v>32.5</v>
      </c>
      <c r="D40" t="s">
        <v>90</v>
      </c>
      <c r="E40">
        <f>1/5</f>
        <v>0.2</v>
      </c>
      <c r="F40" s="2">
        <v>0.39236111111111099</v>
      </c>
      <c r="G40">
        <v>5</v>
      </c>
      <c r="H40">
        <v>5</v>
      </c>
      <c r="I40">
        <v>0.93</v>
      </c>
      <c r="J40" t="s">
        <v>79</v>
      </c>
      <c r="K40" t="s">
        <v>8</v>
      </c>
    </row>
    <row r="41" spans="1:11" x14ac:dyDescent="0.75">
      <c r="A41" s="1" t="s">
        <v>91</v>
      </c>
      <c r="B41">
        <v>1</v>
      </c>
      <c r="C41">
        <v>31</v>
      </c>
      <c r="D41" t="s">
        <v>63</v>
      </c>
      <c r="E41">
        <f>5/5</f>
        <v>1</v>
      </c>
      <c r="F41" s="2">
        <v>0.37847222222222221</v>
      </c>
      <c r="G41">
        <v>5</v>
      </c>
      <c r="H41">
        <v>5</v>
      </c>
      <c r="I41">
        <v>0.83</v>
      </c>
      <c r="J41" t="s">
        <v>79</v>
      </c>
      <c r="K41" t="s">
        <v>8</v>
      </c>
    </row>
    <row r="42" spans="1:11" x14ac:dyDescent="0.75">
      <c r="A42" s="1" t="s">
        <v>91</v>
      </c>
      <c r="B42">
        <v>1</v>
      </c>
      <c r="C42">
        <v>31</v>
      </c>
      <c r="D42" t="s">
        <v>64</v>
      </c>
      <c r="E42">
        <f>4/5</f>
        <v>0.8</v>
      </c>
      <c r="F42" s="2">
        <v>0.37847222222222221</v>
      </c>
      <c r="G42">
        <v>5</v>
      </c>
      <c r="H42">
        <v>5</v>
      </c>
      <c r="I42">
        <v>0.81</v>
      </c>
      <c r="J42" t="s">
        <v>79</v>
      </c>
      <c r="K42" t="s">
        <v>8</v>
      </c>
    </row>
    <row r="43" spans="1:11" x14ac:dyDescent="0.75">
      <c r="A43" s="1" t="s">
        <v>91</v>
      </c>
      <c r="B43">
        <v>1</v>
      </c>
      <c r="C43">
        <v>31</v>
      </c>
      <c r="D43" t="s">
        <v>65</v>
      </c>
      <c r="E43">
        <f>3/5</f>
        <v>0.6</v>
      </c>
      <c r="F43" s="2">
        <v>0.37847222222222199</v>
      </c>
      <c r="G43">
        <v>5</v>
      </c>
      <c r="H43">
        <v>5</v>
      </c>
      <c r="I43">
        <v>0.97</v>
      </c>
      <c r="J43" t="s">
        <v>79</v>
      </c>
      <c r="K43" t="s">
        <v>8</v>
      </c>
    </row>
    <row r="44" spans="1:11" x14ac:dyDescent="0.75">
      <c r="A44" s="1" t="s">
        <v>91</v>
      </c>
      <c r="B44">
        <v>2</v>
      </c>
      <c r="C44">
        <v>31</v>
      </c>
      <c r="D44" t="s">
        <v>67</v>
      </c>
      <c r="E44">
        <f>4/5</f>
        <v>0.8</v>
      </c>
      <c r="F44" s="2">
        <v>0.37847222222222199</v>
      </c>
      <c r="G44">
        <v>5</v>
      </c>
      <c r="H44">
        <v>5</v>
      </c>
      <c r="I44">
        <v>1.17</v>
      </c>
      <c r="J44" t="s">
        <v>79</v>
      </c>
      <c r="K44" t="s">
        <v>8</v>
      </c>
    </row>
    <row r="45" spans="1:11" x14ac:dyDescent="0.75">
      <c r="A45" s="1" t="s">
        <v>91</v>
      </c>
      <c r="B45">
        <v>2</v>
      </c>
      <c r="C45">
        <v>31</v>
      </c>
      <c r="D45" t="s">
        <v>69</v>
      </c>
      <c r="E45">
        <f>5/5</f>
        <v>1</v>
      </c>
      <c r="F45" s="2">
        <v>0.37847222222222199</v>
      </c>
      <c r="G45">
        <v>5</v>
      </c>
      <c r="H45">
        <v>5</v>
      </c>
      <c r="I45">
        <v>0.86</v>
      </c>
      <c r="J45" t="s">
        <v>79</v>
      </c>
      <c r="K45" t="s">
        <v>8</v>
      </c>
    </row>
    <row r="46" spans="1:11" x14ac:dyDescent="0.75">
      <c r="A46" s="1" t="s">
        <v>91</v>
      </c>
      <c r="B46">
        <v>2</v>
      </c>
      <c r="C46">
        <v>31</v>
      </c>
      <c r="D46" t="s">
        <v>70</v>
      </c>
      <c r="E46">
        <f>3/5</f>
        <v>0.6</v>
      </c>
      <c r="F46" s="2">
        <v>0.37847222222222199</v>
      </c>
      <c r="G46">
        <v>5</v>
      </c>
      <c r="H46">
        <v>5</v>
      </c>
      <c r="I46">
        <v>1.02</v>
      </c>
      <c r="J46" t="s">
        <v>79</v>
      </c>
      <c r="K46" t="s">
        <v>8</v>
      </c>
    </row>
    <row r="47" spans="1:11" x14ac:dyDescent="0.75">
      <c r="A47" s="1" t="s">
        <v>91</v>
      </c>
      <c r="B47">
        <v>3</v>
      </c>
      <c r="C47">
        <v>31.5</v>
      </c>
      <c r="D47" t="s">
        <v>63</v>
      </c>
      <c r="E47">
        <f>1/5</f>
        <v>0.2</v>
      </c>
      <c r="F47" s="2">
        <v>0.37847222222222199</v>
      </c>
      <c r="G47">
        <v>5</v>
      </c>
      <c r="H47">
        <v>5</v>
      </c>
      <c r="I47">
        <v>1.0900000000000001</v>
      </c>
      <c r="J47" t="s">
        <v>79</v>
      </c>
      <c r="K47" t="s">
        <v>8</v>
      </c>
    </row>
    <row r="48" spans="1:11" x14ac:dyDescent="0.75">
      <c r="A48" s="1" t="s">
        <v>91</v>
      </c>
      <c r="B48">
        <v>3</v>
      </c>
      <c r="C48">
        <v>31.5</v>
      </c>
      <c r="D48" t="s">
        <v>64</v>
      </c>
      <c r="E48">
        <f>4/5</f>
        <v>0.8</v>
      </c>
      <c r="F48" s="2">
        <v>0.37847222222222199</v>
      </c>
      <c r="G48">
        <v>5</v>
      </c>
      <c r="H48">
        <v>5</v>
      </c>
      <c r="I48">
        <v>0.89</v>
      </c>
      <c r="J48" t="s">
        <v>79</v>
      </c>
      <c r="K48" t="s">
        <v>8</v>
      </c>
    </row>
    <row r="49" spans="1:11" x14ac:dyDescent="0.75">
      <c r="A49" s="1" t="s">
        <v>91</v>
      </c>
      <c r="B49">
        <v>3</v>
      </c>
      <c r="C49">
        <v>31.5</v>
      </c>
      <c r="D49" t="s">
        <v>65</v>
      </c>
      <c r="E49">
        <f>2/5</f>
        <v>0.4</v>
      </c>
      <c r="F49" s="2">
        <v>0.37847222222222199</v>
      </c>
      <c r="G49">
        <v>5</v>
      </c>
      <c r="H49">
        <v>5</v>
      </c>
      <c r="I49">
        <v>1.2</v>
      </c>
      <c r="J49" t="s">
        <v>79</v>
      </c>
      <c r="K49" t="s">
        <v>8</v>
      </c>
    </row>
    <row r="50" spans="1:11" x14ac:dyDescent="0.75">
      <c r="A50" s="1" t="s">
        <v>91</v>
      </c>
      <c r="B50">
        <v>4</v>
      </c>
      <c r="C50">
        <v>31.5</v>
      </c>
      <c r="D50" t="s">
        <v>67</v>
      </c>
      <c r="E50">
        <f>2/5</f>
        <v>0.4</v>
      </c>
      <c r="F50" s="2">
        <v>0.37847222222222199</v>
      </c>
      <c r="G50">
        <v>5</v>
      </c>
      <c r="H50">
        <v>5</v>
      </c>
      <c r="I50">
        <v>1.1200000000000001</v>
      </c>
      <c r="J50" t="s">
        <v>79</v>
      </c>
      <c r="K50" t="s">
        <v>8</v>
      </c>
    </row>
    <row r="51" spans="1:11" x14ac:dyDescent="0.75">
      <c r="A51" s="1" t="s">
        <v>91</v>
      </c>
      <c r="B51">
        <v>4</v>
      </c>
      <c r="C51">
        <v>31.5</v>
      </c>
      <c r="D51" t="s">
        <v>69</v>
      </c>
      <c r="E51">
        <f>4/5</f>
        <v>0.8</v>
      </c>
      <c r="F51" s="2">
        <v>0.37847222222222199</v>
      </c>
      <c r="G51">
        <v>5</v>
      </c>
      <c r="H51">
        <v>5</v>
      </c>
      <c r="I51">
        <v>0.88</v>
      </c>
      <c r="J51" t="s">
        <v>79</v>
      </c>
      <c r="K51" t="s">
        <v>8</v>
      </c>
    </row>
    <row r="52" spans="1:11" x14ac:dyDescent="0.75">
      <c r="A52" s="1" t="s">
        <v>91</v>
      </c>
      <c r="B52">
        <v>4</v>
      </c>
      <c r="C52">
        <v>31.5</v>
      </c>
      <c r="D52" t="s">
        <v>70</v>
      </c>
      <c r="E52">
        <f>4/5</f>
        <v>0.8</v>
      </c>
      <c r="F52" s="2">
        <v>0.37847222222222199</v>
      </c>
      <c r="G52">
        <v>5</v>
      </c>
      <c r="H52">
        <v>5</v>
      </c>
      <c r="I52">
        <v>1.01</v>
      </c>
      <c r="J52" t="s">
        <v>79</v>
      </c>
      <c r="K52" t="s">
        <v>8</v>
      </c>
    </row>
    <row r="53" spans="1:11" x14ac:dyDescent="0.75">
      <c r="A53" s="1" t="s">
        <v>91</v>
      </c>
      <c r="B53">
        <v>5</v>
      </c>
      <c r="C53">
        <v>32</v>
      </c>
      <c r="D53" t="s">
        <v>63</v>
      </c>
      <c r="E53">
        <f>3/5</f>
        <v>0.6</v>
      </c>
      <c r="F53" s="2">
        <v>0.37847222222222199</v>
      </c>
      <c r="G53">
        <v>5</v>
      </c>
      <c r="H53">
        <v>5</v>
      </c>
      <c r="I53">
        <v>0.94</v>
      </c>
      <c r="J53" t="s">
        <v>79</v>
      </c>
      <c r="K53" t="s">
        <v>8</v>
      </c>
    </row>
    <row r="54" spans="1:11" x14ac:dyDescent="0.75">
      <c r="A54" s="1" t="s">
        <v>91</v>
      </c>
      <c r="B54">
        <v>5</v>
      </c>
      <c r="C54">
        <v>32</v>
      </c>
      <c r="D54" t="s">
        <v>64</v>
      </c>
      <c r="E54">
        <f>2/5</f>
        <v>0.4</v>
      </c>
      <c r="F54" s="2">
        <v>0.37847222222222199</v>
      </c>
      <c r="G54">
        <v>5</v>
      </c>
      <c r="H54">
        <v>5</v>
      </c>
      <c r="I54">
        <v>1.06</v>
      </c>
      <c r="J54" t="s">
        <v>79</v>
      </c>
      <c r="K54" t="s">
        <v>8</v>
      </c>
    </row>
    <row r="55" spans="1:11" x14ac:dyDescent="0.75">
      <c r="A55" s="1" t="s">
        <v>91</v>
      </c>
      <c r="B55">
        <v>5</v>
      </c>
      <c r="C55">
        <v>32</v>
      </c>
      <c r="D55" t="s">
        <v>65</v>
      </c>
      <c r="E55">
        <f>4/5</f>
        <v>0.8</v>
      </c>
      <c r="F55" s="2">
        <v>0.37847222222222199</v>
      </c>
      <c r="G55">
        <v>5</v>
      </c>
      <c r="H55">
        <v>5</v>
      </c>
      <c r="I55">
        <v>0.86</v>
      </c>
      <c r="J55" t="s">
        <v>79</v>
      </c>
      <c r="K55" t="s">
        <v>8</v>
      </c>
    </row>
    <row r="56" spans="1:11" x14ac:dyDescent="0.75">
      <c r="A56" s="1" t="s">
        <v>91</v>
      </c>
      <c r="B56">
        <v>6</v>
      </c>
      <c r="C56">
        <v>32</v>
      </c>
      <c r="D56" t="s">
        <v>67</v>
      </c>
      <c r="E56">
        <f>2/5</f>
        <v>0.4</v>
      </c>
      <c r="F56" s="2">
        <v>0.37847222222222199</v>
      </c>
      <c r="G56">
        <v>5</v>
      </c>
      <c r="H56">
        <v>5</v>
      </c>
      <c r="I56">
        <v>0.79</v>
      </c>
      <c r="J56" t="s">
        <v>79</v>
      </c>
      <c r="K56" t="s">
        <v>8</v>
      </c>
    </row>
    <row r="57" spans="1:11" x14ac:dyDescent="0.75">
      <c r="A57" s="1" t="s">
        <v>91</v>
      </c>
      <c r="B57">
        <v>6</v>
      </c>
      <c r="C57">
        <v>32</v>
      </c>
      <c r="D57" t="s">
        <v>69</v>
      </c>
      <c r="E57">
        <f>1/5</f>
        <v>0.2</v>
      </c>
      <c r="F57" s="2">
        <v>0.37847222222222199</v>
      </c>
      <c r="G57">
        <v>5</v>
      </c>
      <c r="H57">
        <v>5</v>
      </c>
      <c r="I57">
        <v>1.02</v>
      </c>
      <c r="J57" t="s">
        <v>79</v>
      </c>
      <c r="K57" t="s">
        <v>8</v>
      </c>
    </row>
    <row r="58" spans="1:11" x14ac:dyDescent="0.75">
      <c r="A58" s="1" t="s">
        <v>91</v>
      </c>
      <c r="B58">
        <v>6</v>
      </c>
      <c r="C58">
        <v>32</v>
      </c>
      <c r="D58" t="s">
        <v>70</v>
      </c>
      <c r="E58">
        <f>4/5</f>
        <v>0.8</v>
      </c>
      <c r="F58" s="2">
        <v>0.37847222222222199</v>
      </c>
      <c r="G58">
        <v>5</v>
      </c>
      <c r="H58">
        <v>5</v>
      </c>
      <c r="I58">
        <v>1.02</v>
      </c>
      <c r="J58" t="s">
        <v>79</v>
      </c>
      <c r="K58" t="s">
        <v>8</v>
      </c>
    </row>
    <row r="59" spans="1:11" x14ac:dyDescent="0.75">
      <c r="A59" s="1" t="s">
        <v>91</v>
      </c>
      <c r="B59">
        <v>2</v>
      </c>
      <c r="C59">
        <v>33</v>
      </c>
      <c r="D59" t="s">
        <v>63</v>
      </c>
      <c r="E59">
        <f>1/5</f>
        <v>0.2</v>
      </c>
      <c r="F59" s="2">
        <v>0.37847222222222199</v>
      </c>
      <c r="G59">
        <v>5</v>
      </c>
      <c r="H59">
        <v>4</v>
      </c>
      <c r="I59">
        <v>0.88</v>
      </c>
      <c r="J59" t="s">
        <v>79</v>
      </c>
      <c r="K59" t="s">
        <v>109</v>
      </c>
    </row>
    <row r="60" spans="1:11" x14ac:dyDescent="0.75">
      <c r="A60" s="1" t="s">
        <v>91</v>
      </c>
      <c r="B60">
        <v>3</v>
      </c>
      <c r="C60">
        <v>33</v>
      </c>
      <c r="D60" t="s">
        <v>64</v>
      </c>
      <c r="E60">
        <f>0/5</f>
        <v>0</v>
      </c>
      <c r="F60" s="2">
        <v>0.37847222222222199</v>
      </c>
      <c r="G60">
        <v>5</v>
      </c>
      <c r="H60">
        <v>5</v>
      </c>
      <c r="I60">
        <v>0.74</v>
      </c>
      <c r="J60" t="s">
        <v>79</v>
      </c>
      <c r="K60" t="s">
        <v>8</v>
      </c>
    </row>
    <row r="61" spans="1:11" x14ac:dyDescent="0.75">
      <c r="A61" s="1" t="s">
        <v>91</v>
      </c>
      <c r="B61">
        <v>4</v>
      </c>
      <c r="C61">
        <v>33</v>
      </c>
      <c r="D61" t="s">
        <v>65</v>
      </c>
      <c r="E61">
        <f>0/5</f>
        <v>0</v>
      </c>
      <c r="F61" s="2">
        <v>0.37847222222222199</v>
      </c>
      <c r="G61">
        <v>5</v>
      </c>
      <c r="H61">
        <v>5</v>
      </c>
      <c r="I61">
        <v>0.99</v>
      </c>
      <c r="J61" t="s">
        <v>79</v>
      </c>
      <c r="K61" t="s">
        <v>8</v>
      </c>
    </row>
    <row r="62" spans="1:11" x14ac:dyDescent="0.75">
      <c r="A62" s="1" t="s">
        <v>91</v>
      </c>
      <c r="B62">
        <v>4</v>
      </c>
      <c r="C62">
        <v>33</v>
      </c>
      <c r="D62" t="s">
        <v>67</v>
      </c>
      <c r="E62">
        <f>3/5</f>
        <v>0.6</v>
      </c>
      <c r="F62" s="2">
        <v>0.37847222222222199</v>
      </c>
      <c r="G62">
        <v>5</v>
      </c>
      <c r="H62">
        <v>4</v>
      </c>
      <c r="I62">
        <v>0.76</v>
      </c>
      <c r="J62" t="s">
        <v>79</v>
      </c>
      <c r="K62" t="s">
        <v>109</v>
      </c>
    </row>
    <row r="63" spans="1:11" x14ac:dyDescent="0.75">
      <c r="A63" s="1" t="s">
        <v>91</v>
      </c>
      <c r="B63">
        <v>3</v>
      </c>
      <c r="C63">
        <v>33</v>
      </c>
      <c r="D63" t="s">
        <v>69</v>
      </c>
      <c r="E63">
        <f>1/5</f>
        <v>0.2</v>
      </c>
      <c r="F63" s="2">
        <v>0.37847222222222199</v>
      </c>
      <c r="G63">
        <v>5</v>
      </c>
      <c r="H63">
        <v>5</v>
      </c>
      <c r="I63">
        <v>0.99</v>
      </c>
      <c r="J63" t="s">
        <v>79</v>
      </c>
      <c r="K63" t="s">
        <v>8</v>
      </c>
    </row>
    <row r="64" spans="1:11" x14ac:dyDescent="0.75">
      <c r="A64" s="1" t="s">
        <v>91</v>
      </c>
      <c r="B64">
        <v>2</v>
      </c>
      <c r="C64">
        <v>33</v>
      </c>
      <c r="D64" t="s">
        <v>70</v>
      </c>
      <c r="E64">
        <f>0/5</f>
        <v>0</v>
      </c>
      <c r="F64" s="2">
        <v>0.37847222222222199</v>
      </c>
      <c r="G64">
        <v>5</v>
      </c>
      <c r="H64">
        <v>5</v>
      </c>
      <c r="I64">
        <v>0.76</v>
      </c>
      <c r="J64" t="s">
        <v>79</v>
      </c>
      <c r="K64" t="s">
        <v>8</v>
      </c>
    </row>
    <row r="65" spans="1:11" x14ac:dyDescent="0.75">
      <c r="A65" s="1" t="s">
        <v>91</v>
      </c>
      <c r="B65">
        <v>3</v>
      </c>
      <c r="C65">
        <v>33</v>
      </c>
      <c r="D65" t="s">
        <v>88</v>
      </c>
      <c r="E65">
        <f>0/5</f>
        <v>0</v>
      </c>
      <c r="F65" s="2">
        <v>0.37847222222222199</v>
      </c>
      <c r="G65">
        <v>5</v>
      </c>
      <c r="H65">
        <v>5</v>
      </c>
      <c r="I65">
        <v>1.04</v>
      </c>
      <c r="J65" t="s">
        <v>79</v>
      </c>
      <c r="K65" t="s">
        <v>8</v>
      </c>
    </row>
    <row r="66" spans="1:11" x14ac:dyDescent="0.75">
      <c r="A66" s="1" t="s">
        <v>91</v>
      </c>
      <c r="B66">
        <v>4</v>
      </c>
      <c r="C66">
        <v>33</v>
      </c>
      <c r="D66" t="s">
        <v>89</v>
      </c>
      <c r="E66">
        <f>1/5</f>
        <v>0.2</v>
      </c>
      <c r="F66" s="2">
        <v>0.37847222222222199</v>
      </c>
      <c r="G66">
        <v>5</v>
      </c>
      <c r="H66">
        <v>5</v>
      </c>
      <c r="I66">
        <v>1.08</v>
      </c>
      <c r="J66" t="s">
        <v>79</v>
      </c>
      <c r="K66" t="s">
        <v>8</v>
      </c>
    </row>
    <row r="67" spans="1:11" x14ac:dyDescent="0.75">
      <c r="A67" s="1" t="s">
        <v>91</v>
      </c>
      <c r="B67">
        <v>2</v>
      </c>
      <c r="C67">
        <v>33</v>
      </c>
      <c r="D67" t="s">
        <v>90</v>
      </c>
      <c r="E67">
        <f>1/5</f>
        <v>0.2</v>
      </c>
      <c r="F67" s="2">
        <v>0.37847222222222199</v>
      </c>
      <c r="G67">
        <v>5</v>
      </c>
      <c r="H67">
        <v>5</v>
      </c>
      <c r="I67">
        <v>0.99</v>
      </c>
      <c r="J67" t="s">
        <v>79</v>
      </c>
      <c r="K67" t="s">
        <v>8</v>
      </c>
    </row>
    <row r="68" spans="1:11" x14ac:dyDescent="0.75">
      <c r="A68" s="1" t="s">
        <v>91</v>
      </c>
      <c r="B68">
        <v>3</v>
      </c>
      <c r="C68">
        <v>33</v>
      </c>
      <c r="D68" t="s">
        <v>100</v>
      </c>
      <c r="E68">
        <f>0/5</f>
        <v>0</v>
      </c>
      <c r="F68" s="2">
        <v>0.37847222222222199</v>
      </c>
      <c r="G68">
        <v>5</v>
      </c>
      <c r="H68">
        <v>5</v>
      </c>
      <c r="I68">
        <v>0.96</v>
      </c>
      <c r="J68" t="s">
        <v>79</v>
      </c>
      <c r="K68" t="s">
        <v>8</v>
      </c>
    </row>
    <row r="69" spans="1:11" x14ac:dyDescent="0.75">
      <c r="A69" s="1" t="s">
        <v>91</v>
      </c>
      <c r="B69">
        <v>2</v>
      </c>
      <c r="C69">
        <v>33</v>
      </c>
      <c r="D69" t="s">
        <v>101</v>
      </c>
      <c r="E69">
        <f>0/5</f>
        <v>0</v>
      </c>
      <c r="F69" s="2">
        <v>0.37847222222222199</v>
      </c>
      <c r="G69">
        <v>5</v>
      </c>
      <c r="H69">
        <v>5</v>
      </c>
      <c r="I69">
        <v>0.85</v>
      </c>
      <c r="J69" t="s">
        <v>79</v>
      </c>
      <c r="K69" t="s">
        <v>8</v>
      </c>
    </row>
    <row r="70" spans="1:11" x14ac:dyDescent="0.75">
      <c r="A70" s="1" t="s">
        <v>91</v>
      </c>
      <c r="B70">
        <v>4</v>
      </c>
      <c r="C70">
        <v>33</v>
      </c>
      <c r="D70" t="s">
        <v>102</v>
      </c>
      <c r="E70">
        <f>0/5</f>
        <v>0</v>
      </c>
      <c r="F70" s="2">
        <v>0.37847222222222199</v>
      </c>
      <c r="G70">
        <v>5</v>
      </c>
      <c r="H70">
        <v>5</v>
      </c>
      <c r="I70">
        <v>1.38</v>
      </c>
      <c r="J70" t="s">
        <v>79</v>
      </c>
      <c r="K70" t="s">
        <v>8</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8B4C-BC1B-4D1F-8B76-B581801288A9}">
  <dimension ref="A1:I171"/>
  <sheetViews>
    <sheetView topLeftCell="A97" zoomScale="55" zoomScaleNormal="55" workbookViewId="0">
      <selection activeCell="F148" sqref="F148"/>
    </sheetView>
  </sheetViews>
  <sheetFormatPr defaultRowHeight="14.75" x14ac:dyDescent="0.75"/>
  <cols>
    <col min="1" max="1" width="10.08984375" bestFit="1" customWidth="1"/>
    <col min="2" max="2" width="21.36328125" customWidth="1"/>
    <col min="4" max="4" width="12.36328125" bestFit="1" customWidth="1"/>
    <col min="5" max="5" width="21.7265625" bestFit="1" customWidth="1"/>
    <col min="6" max="6" width="12" bestFit="1" customWidth="1"/>
    <col min="7" max="7" width="18.7265625" bestFit="1" customWidth="1"/>
    <col min="8" max="8" width="14.1796875" customWidth="1"/>
  </cols>
  <sheetData>
    <row r="1" spans="1:9" s="3" customFormat="1" x14ac:dyDescent="0.75">
      <c r="A1" s="3" t="s">
        <v>0</v>
      </c>
      <c r="B1" s="3" t="s">
        <v>25</v>
      </c>
      <c r="C1" s="3" t="s">
        <v>20</v>
      </c>
      <c r="D1" s="3" t="s">
        <v>23</v>
      </c>
      <c r="E1" s="3" t="s">
        <v>21</v>
      </c>
      <c r="F1" s="3" t="s">
        <v>1</v>
      </c>
      <c r="G1" s="3" t="s">
        <v>22</v>
      </c>
      <c r="H1" s="3" t="s">
        <v>36</v>
      </c>
      <c r="I1" s="3" t="s">
        <v>7</v>
      </c>
    </row>
    <row r="2" spans="1:9" x14ac:dyDescent="0.75">
      <c r="A2" s="1">
        <v>45830</v>
      </c>
      <c r="B2" s="1" t="s">
        <v>26</v>
      </c>
      <c r="C2" t="s">
        <v>24</v>
      </c>
      <c r="D2">
        <v>0.3</v>
      </c>
      <c r="E2">
        <v>16.399999999999999</v>
      </c>
      <c r="F2" s="2">
        <v>0.57777777777777772</v>
      </c>
      <c r="G2">
        <v>17.600000000000001</v>
      </c>
      <c r="H2">
        <v>32</v>
      </c>
      <c r="I2" t="s">
        <v>35</v>
      </c>
    </row>
    <row r="3" spans="1:9" x14ac:dyDescent="0.75">
      <c r="A3" s="1">
        <v>45830</v>
      </c>
      <c r="B3" s="1" t="s">
        <v>26</v>
      </c>
      <c r="C3" t="s">
        <v>24</v>
      </c>
      <c r="D3">
        <v>0.3</v>
      </c>
      <c r="E3">
        <v>16.399999999999999</v>
      </c>
      <c r="F3" s="2">
        <v>0.57777777777777772</v>
      </c>
      <c r="G3">
        <v>17.600000000000001</v>
      </c>
      <c r="H3">
        <v>32.200000000000003</v>
      </c>
      <c r="I3" t="s">
        <v>35</v>
      </c>
    </row>
    <row r="4" spans="1:9" x14ac:dyDescent="0.75">
      <c r="A4" s="1">
        <v>45830</v>
      </c>
      <c r="B4" s="1" t="s">
        <v>26</v>
      </c>
      <c r="C4" t="s">
        <v>24</v>
      </c>
      <c r="D4">
        <v>0.3</v>
      </c>
      <c r="E4">
        <v>16.399999999999999</v>
      </c>
      <c r="F4" s="2">
        <v>0.57777777777777795</v>
      </c>
      <c r="G4">
        <v>17.600000000000001</v>
      </c>
      <c r="H4">
        <v>33.5</v>
      </c>
      <c r="I4" t="s">
        <v>35</v>
      </c>
    </row>
    <row r="5" spans="1:9" x14ac:dyDescent="0.75">
      <c r="A5" s="1">
        <v>45830</v>
      </c>
      <c r="B5" s="1" t="s">
        <v>26</v>
      </c>
      <c r="C5" t="s">
        <v>24</v>
      </c>
      <c r="D5">
        <v>0.3</v>
      </c>
      <c r="E5">
        <v>16.399999999999999</v>
      </c>
      <c r="F5" s="2">
        <v>0.57777777777777795</v>
      </c>
      <c r="G5">
        <v>17.600000000000001</v>
      </c>
      <c r="H5">
        <v>33.700000000000003</v>
      </c>
      <c r="I5" t="s">
        <v>35</v>
      </c>
    </row>
    <row r="6" spans="1:9" x14ac:dyDescent="0.75">
      <c r="A6" s="1">
        <v>45830</v>
      </c>
      <c r="B6" s="1" t="s">
        <v>26</v>
      </c>
      <c r="C6" t="s">
        <v>24</v>
      </c>
      <c r="D6">
        <v>0.3</v>
      </c>
      <c r="E6">
        <v>16.399999999999999</v>
      </c>
      <c r="F6" s="2">
        <v>0.57777777777777795</v>
      </c>
      <c r="G6">
        <v>17.600000000000001</v>
      </c>
      <c r="H6">
        <v>33.700000000000003</v>
      </c>
      <c r="I6" t="s">
        <v>35</v>
      </c>
    </row>
    <row r="7" spans="1:9" x14ac:dyDescent="0.75">
      <c r="A7" s="1">
        <v>45830</v>
      </c>
      <c r="B7" s="1" t="s">
        <v>26</v>
      </c>
      <c r="C7" t="s">
        <v>24</v>
      </c>
      <c r="D7">
        <v>0.3</v>
      </c>
      <c r="E7">
        <v>16.399999999999999</v>
      </c>
      <c r="F7" s="2">
        <v>0.57777777777777795</v>
      </c>
      <c r="G7">
        <v>17.600000000000001</v>
      </c>
      <c r="H7">
        <v>34</v>
      </c>
      <c r="I7" t="s">
        <v>35</v>
      </c>
    </row>
    <row r="8" spans="1:9" x14ac:dyDescent="0.75">
      <c r="A8" s="1">
        <v>45830</v>
      </c>
      <c r="B8" s="1" t="s">
        <v>26</v>
      </c>
      <c r="C8" t="s">
        <v>24</v>
      </c>
      <c r="D8">
        <v>0.3</v>
      </c>
      <c r="E8">
        <v>16.399999999999999</v>
      </c>
      <c r="F8" s="2">
        <v>0.57777777777777795</v>
      </c>
      <c r="G8">
        <v>17.600000000000001</v>
      </c>
      <c r="H8">
        <v>34</v>
      </c>
      <c r="I8" t="s">
        <v>35</v>
      </c>
    </row>
    <row r="9" spans="1:9" x14ac:dyDescent="0.75">
      <c r="A9" s="1">
        <v>45830</v>
      </c>
      <c r="B9" s="1" t="s">
        <v>26</v>
      </c>
      <c r="C9" t="s">
        <v>24</v>
      </c>
      <c r="D9">
        <v>0.3</v>
      </c>
      <c r="E9">
        <v>16.399999999999999</v>
      </c>
      <c r="F9" s="2">
        <v>0.57777777777777795</v>
      </c>
      <c r="G9">
        <v>17.600000000000001</v>
      </c>
      <c r="H9">
        <v>34.200000000000003</v>
      </c>
      <c r="I9" t="s">
        <v>35</v>
      </c>
    </row>
    <row r="10" spans="1:9" x14ac:dyDescent="0.75">
      <c r="A10" s="1">
        <v>45830</v>
      </c>
      <c r="B10" s="1" t="s">
        <v>26</v>
      </c>
      <c r="C10" t="s">
        <v>24</v>
      </c>
      <c r="D10">
        <v>0.3</v>
      </c>
      <c r="E10">
        <v>16.399999999999999</v>
      </c>
      <c r="F10" s="2">
        <v>0.57777777777777795</v>
      </c>
      <c r="G10">
        <v>17.600000000000001</v>
      </c>
      <c r="H10">
        <v>34.200000000000003</v>
      </c>
      <c r="I10" t="s">
        <v>35</v>
      </c>
    </row>
    <row r="11" spans="1:9" x14ac:dyDescent="0.75">
      <c r="A11" s="1">
        <v>45830</v>
      </c>
      <c r="B11" s="1" t="s">
        <v>26</v>
      </c>
      <c r="C11" t="s">
        <v>24</v>
      </c>
      <c r="D11">
        <v>0.3</v>
      </c>
      <c r="E11">
        <v>16.399999999999999</v>
      </c>
      <c r="F11" s="2">
        <v>0.57777777777777795</v>
      </c>
      <c r="G11">
        <v>17.600000000000001</v>
      </c>
      <c r="H11">
        <v>34.4</v>
      </c>
      <c r="I11" t="s">
        <v>35</v>
      </c>
    </row>
    <row r="12" spans="1:9" x14ac:dyDescent="0.75">
      <c r="A12" s="1">
        <v>45830</v>
      </c>
      <c r="B12" s="1" t="s">
        <v>26</v>
      </c>
      <c r="C12" t="s">
        <v>24</v>
      </c>
      <c r="D12">
        <v>0.3</v>
      </c>
      <c r="E12">
        <v>16.399999999999999</v>
      </c>
      <c r="F12" s="2">
        <v>0.57777777777777795</v>
      </c>
      <c r="G12">
        <v>17.600000000000001</v>
      </c>
      <c r="H12">
        <v>34.4</v>
      </c>
      <c r="I12" t="s">
        <v>35</v>
      </c>
    </row>
    <row r="13" spans="1:9" x14ac:dyDescent="0.75">
      <c r="A13" s="1">
        <v>45830</v>
      </c>
      <c r="B13" s="1" t="s">
        <v>26</v>
      </c>
      <c r="C13" t="s">
        <v>24</v>
      </c>
      <c r="D13">
        <v>0.3</v>
      </c>
      <c r="E13">
        <v>16.399999999999999</v>
      </c>
      <c r="F13" s="2">
        <v>0.57777777777777795</v>
      </c>
      <c r="G13">
        <v>17.600000000000001</v>
      </c>
      <c r="H13">
        <v>34.5</v>
      </c>
      <c r="I13" t="s">
        <v>35</v>
      </c>
    </row>
    <row r="14" spans="1:9" x14ac:dyDescent="0.75">
      <c r="A14" s="1">
        <v>45830</v>
      </c>
      <c r="B14" s="1" t="s">
        <v>26</v>
      </c>
      <c r="C14" t="s">
        <v>24</v>
      </c>
      <c r="D14">
        <v>0.3</v>
      </c>
      <c r="E14">
        <v>16.399999999999999</v>
      </c>
      <c r="F14" s="2">
        <v>0.57777777777777795</v>
      </c>
      <c r="G14">
        <v>17.600000000000001</v>
      </c>
      <c r="H14">
        <v>34.5</v>
      </c>
      <c r="I14" t="s">
        <v>35</v>
      </c>
    </row>
    <row r="15" spans="1:9" x14ac:dyDescent="0.75">
      <c r="A15" s="1">
        <v>45830</v>
      </c>
      <c r="B15" s="1" t="s">
        <v>26</v>
      </c>
      <c r="C15" t="s">
        <v>24</v>
      </c>
      <c r="D15">
        <v>0.3</v>
      </c>
      <c r="E15">
        <v>16.399999999999999</v>
      </c>
      <c r="F15" s="2">
        <v>0.57777777777777795</v>
      </c>
      <c r="G15">
        <v>17.600000000000001</v>
      </c>
      <c r="H15">
        <v>34.6</v>
      </c>
      <c r="I15" t="s">
        <v>35</v>
      </c>
    </row>
    <row r="16" spans="1:9" x14ac:dyDescent="0.75">
      <c r="A16" s="1">
        <v>45830</v>
      </c>
      <c r="B16" s="1" t="s">
        <v>26</v>
      </c>
      <c r="C16" t="s">
        <v>24</v>
      </c>
      <c r="D16">
        <v>0.3</v>
      </c>
      <c r="E16">
        <v>16.399999999999999</v>
      </c>
      <c r="F16" s="2">
        <v>0.57777777777777795</v>
      </c>
      <c r="G16">
        <v>17.600000000000001</v>
      </c>
      <c r="H16">
        <v>34.6</v>
      </c>
      <c r="I16" t="s">
        <v>35</v>
      </c>
    </row>
    <row r="17" spans="1:9" x14ac:dyDescent="0.75">
      <c r="A17" s="1">
        <v>45830</v>
      </c>
      <c r="B17" s="1" t="s">
        <v>26</v>
      </c>
      <c r="C17" t="s">
        <v>24</v>
      </c>
      <c r="D17">
        <v>0.3</v>
      </c>
      <c r="E17">
        <v>16.399999999999999</v>
      </c>
      <c r="F17" s="2">
        <v>0.57777777777777795</v>
      </c>
      <c r="G17">
        <v>17.600000000000001</v>
      </c>
      <c r="H17">
        <v>34.799999999999997</v>
      </c>
      <c r="I17" t="s">
        <v>35</v>
      </c>
    </row>
    <row r="18" spans="1:9" x14ac:dyDescent="0.75">
      <c r="A18" s="1">
        <v>45830</v>
      </c>
      <c r="B18" s="1" t="s">
        <v>26</v>
      </c>
      <c r="C18" t="s">
        <v>24</v>
      </c>
      <c r="D18">
        <v>0.3</v>
      </c>
      <c r="E18">
        <v>16.399999999999999</v>
      </c>
      <c r="F18" s="2">
        <v>0.57777777777777795</v>
      </c>
      <c r="G18">
        <v>17.600000000000001</v>
      </c>
      <c r="H18">
        <v>34.799999999999997</v>
      </c>
      <c r="I18" t="s">
        <v>35</v>
      </c>
    </row>
    <row r="19" spans="1:9" x14ac:dyDescent="0.75">
      <c r="A19" s="1">
        <v>45830</v>
      </c>
      <c r="B19" s="1" t="s">
        <v>26</v>
      </c>
      <c r="C19" t="s">
        <v>24</v>
      </c>
      <c r="D19">
        <v>0.3</v>
      </c>
      <c r="E19">
        <v>16.399999999999999</v>
      </c>
      <c r="F19" s="2">
        <v>0.57777777777777795</v>
      </c>
      <c r="G19">
        <v>17.600000000000001</v>
      </c>
      <c r="H19">
        <v>34.799999999999997</v>
      </c>
      <c r="I19" t="s">
        <v>35</v>
      </c>
    </row>
    <row r="20" spans="1:9" x14ac:dyDescent="0.75">
      <c r="A20" s="1">
        <v>45830</v>
      </c>
      <c r="B20" s="1" t="s">
        <v>27</v>
      </c>
      <c r="C20" t="s">
        <v>38</v>
      </c>
      <c r="D20">
        <v>0.3</v>
      </c>
      <c r="E20">
        <v>16.8</v>
      </c>
      <c r="F20" s="2">
        <v>0.64097222222222228</v>
      </c>
      <c r="G20">
        <v>17.2</v>
      </c>
      <c r="H20">
        <v>31.6</v>
      </c>
      <c r="I20" t="s">
        <v>35</v>
      </c>
    </row>
    <row r="21" spans="1:9" x14ac:dyDescent="0.75">
      <c r="A21" s="1">
        <v>45830</v>
      </c>
      <c r="B21" s="1" t="s">
        <v>27</v>
      </c>
      <c r="C21" t="s">
        <v>38</v>
      </c>
      <c r="D21">
        <v>0.3</v>
      </c>
      <c r="E21">
        <v>16.8</v>
      </c>
      <c r="F21" s="2">
        <v>0.64097222222222228</v>
      </c>
      <c r="G21">
        <v>17.2</v>
      </c>
      <c r="H21">
        <v>31.9</v>
      </c>
      <c r="I21" t="s">
        <v>35</v>
      </c>
    </row>
    <row r="22" spans="1:9" x14ac:dyDescent="0.75">
      <c r="A22" s="1">
        <v>45830</v>
      </c>
      <c r="B22" s="1" t="s">
        <v>27</v>
      </c>
      <c r="C22" t="s">
        <v>38</v>
      </c>
      <c r="D22">
        <v>0.3</v>
      </c>
      <c r="E22">
        <v>16.8</v>
      </c>
      <c r="F22" s="2">
        <v>0.64097222222222205</v>
      </c>
      <c r="G22">
        <v>17.2</v>
      </c>
      <c r="H22">
        <v>32.9</v>
      </c>
      <c r="I22" t="s">
        <v>35</v>
      </c>
    </row>
    <row r="23" spans="1:9" x14ac:dyDescent="0.75">
      <c r="A23" s="1">
        <v>45830</v>
      </c>
      <c r="B23" s="1" t="s">
        <v>27</v>
      </c>
      <c r="C23" t="s">
        <v>38</v>
      </c>
      <c r="D23">
        <v>0.3</v>
      </c>
      <c r="E23">
        <v>16.8</v>
      </c>
      <c r="F23" s="2">
        <v>0.64097222222222205</v>
      </c>
      <c r="G23">
        <v>17.2</v>
      </c>
      <c r="H23">
        <v>32</v>
      </c>
      <c r="I23" t="s">
        <v>35</v>
      </c>
    </row>
    <row r="24" spans="1:9" x14ac:dyDescent="0.75">
      <c r="A24" s="1">
        <v>45830</v>
      </c>
      <c r="B24" s="1" t="s">
        <v>27</v>
      </c>
      <c r="C24" t="s">
        <v>38</v>
      </c>
      <c r="D24">
        <v>0.3</v>
      </c>
      <c r="E24">
        <v>16.8</v>
      </c>
      <c r="F24" s="2">
        <v>0.64097222222222205</v>
      </c>
      <c r="G24">
        <v>17.2</v>
      </c>
      <c r="H24">
        <v>32.1</v>
      </c>
      <c r="I24" t="s">
        <v>35</v>
      </c>
    </row>
    <row r="25" spans="1:9" x14ac:dyDescent="0.75">
      <c r="A25" s="1">
        <v>45830</v>
      </c>
      <c r="B25" s="1" t="s">
        <v>27</v>
      </c>
      <c r="C25" t="s">
        <v>38</v>
      </c>
      <c r="D25">
        <v>0.3</v>
      </c>
      <c r="E25">
        <v>16.8</v>
      </c>
      <c r="F25" s="2">
        <v>0.64097222222222205</v>
      </c>
      <c r="G25">
        <v>17.2</v>
      </c>
      <c r="H25">
        <v>32.200000000000003</v>
      </c>
      <c r="I25" t="s">
        <v>35</v>
      </c>
    </row>
    <row r="26" spans="1:9" x14ac:dyDescent="0.75">
      <c r="A26" s="1">
        <v>45830</v>
      </c>
      <c r="B26" s="1" t="s">
        <v>27</v>
      </c>
      <c r="C26" t="s">
        <v>38</v>
      </c>
      <c r="D26">
        <v>0.3</v>
      </c>
      <c r="E26">
        <v>16.8</v>
      </c>
      <c r="F26" s="2">
        <v>0.64097222222222205</v>
      </c>
      <c r="G26">
        <v>17.2</v>
      </c>
      <c r="H26">
        <v>32.200000000000003</v>
      </c>
      <c r="I26" t="s">
        <v>35</v>
      </c>
    </row>
    <row r="27" spans="1:9" x14ac:dyDescent="0.75">
      <c r="A27" s="1">
        <v>45830</v>
      </c>
      <c r="B27" s="1" t="s">
        <v>27</v>
      </c>
      <c r="C27" t="s">
        <v>38</v>
      </c>
      <c r="D27">
        <v>0.3</v>
      </c>
      <c r="E27">
        <v>16.8</v>
      </c>
      <c r="F27" s="2">
        <v>0.64097222222222205</v>
      </c>
      <c r="G27">
        <v>17.2</v>
      </c>
      <c r="H27">
        <v>33.6</v>
      </c>
      <c r="I27" t="s">
        <v>35</v>
      </c>
    </row>
    <row r="28" spans="1:9" x14ac:dyDescent="0.75">
      <c r="A28" s="1">
        <v>45830</v>
      </c>
      <c r="B28" s="1" t="s">
        <v>27</v>
      </c>
      <c r="C28" t="s">
        <v>38</v>
      </c>
      <c r="D28">
        <v>0.3</v>
      </c>
      <c r="E28">
        <v>16.8</v>
      </c>
      <c r="F28" s="2">
        <v>0.64097222222222205</v>
      </c>
      <c r="G28">
        <v>17.2</v>
      </c>
      <c r="H28">
        <v>33.799999999999997</v>
      </c>
      <c r="I28" t="s">
        <v>35</v>
      </c>
    </row>
    <row r="29" spans="1:9" x14ac:dyDescent="0.75">
      <c r="A29" s="1">
        <v>45830</v>
      </c>
      <c r="B29" s="1" t="s">
        <v>27</v>
      </c>
      <c r="C29" t="s">
        <v>38</v>
      </c>
      <c r="D29">
        <v>0.3</v>
      </c>
      <c r="E29">
        <v>16.8</v>
      </c>
      <c r="F29" s="2">
        <v>0.64097222222222205</v>
      </c>
      <c r="G29">
        <v>17.2</v>
      </c>
      <c r="H29">
        <v>33.9</v>
      </c>
      <c r="I29" t="s">
        <v>35</v>
      </c>
    </row>
    <row r="30" spans="1:9" x14ac:dyDescent="0.75">
      <c r="A30" s="1">
        <v>45830</v>
      </c>
      <c r="B30" s="1" t="s">
        <v>27</v>
      </c>
      <c r="C30" t="s">
        <v>38</v>
      </c>
      <c r="D30">
        <v>0.3</v>
      </c>
      <c r="E30">
        <v>16.8</v>
      </c>
      <c r="F30" s="2">
        <v>0.64097222222222205</v>
      </c>
      <c r="G30">
        <v>17.2</v>
      </c>
      <c r="H30">
        <v>34</v>
      </c>
      <c r="I30" t="s">
        <v>35</v>
      </c>
    </row>
    <row r="31" spans="1:9" x14ac:dyDescent="0.75">
      <c r="A31" s="1">
        <v>45830</v>
      </c>
      <c r="B31" s="1" t="s">
        <v>27</v>
      </c>
      <c r="C31" t="s">
        <v>38</v>
      </c>
      <c r="D31">
        <v>0.3</v>
      </c>
      <c r="E31">
        <v>16.8</v>
      </c>
      <c r="F31" s="2">
        <v>0.64097222222222205</v>
      </c>
      <c r="G31">
        <v>17.2</v>
      </c>
      <c r="H31">
        <v>34</v>
      </c>
      <c r="I31" t="s">
        <v>35</v>
      </c>
    </row>
    <row r="32" spans="1:9" x14ac:dyDescent="0.75">
      <c r="A32" s="1">
        <v>45830</v>
      </c>
      <c r="B32" s="1" t="s">
        <v>27</v>
      </c>
      <c r="C32" t="s">
        <v>38</v>
      </c>
      <c r="D32">
        <v>0.3</v>
      </c>
      <c r="E32">
        <v>16.8</v>
      </c>
      <c r="F32" s="2">
        <v>0.64097222222222205</v>
      </c>
      <c r="G32">
        <v>17.2</v>
      </c>
      <c r="H32">
        <v>34.1</v>
      </c>
      <c r="I32" t="s">
        <v>35</v>
      </c>
    </row>
    <row r="33" spans="1:9" x14ac:dyDescent="0.75">
      <c r="A33" s="1">
        <v>45830</v>
      </c>
      <c r="B33" s="1" t="s">
        <v>27</v>
      </c>
      <c r="C33" t="s">
        <v>38</v>
      </c>
      <c r="D33">
        <v>0.3</v>
      </c>
      <c r="E33">
        <v>16.8</v>
      </c>
      <c r="F33" s="2">
        <v>0.64097222222222205</v>
      </c>
      <c r="G33">
        <v>17.2</v>
      </c>
      <c r="H33">
        <v>34.200000000000003</v>
      </c>
      <c r="I33" t="s">
        <v>35</v>
      </c>
    </row>
    <row r="34" spans="1:9" x14ac:dyDescent="0.75">
      <c r="A34" s="1">
        <v>45830</v>
      </c>
      <c r="B34" s="1" t="s">
        <v>27</v>
      </c>
      <c r="C34" t="s">
        <v>38</v>
      </c>
      <c r="D34">
        <v>0.3</v>
      </c>
      <c r="E34">
        <v>16.8</v>
      </c>
      <c r="F34" s="2">
        <v>0.64097222222222205</v>
      </c>
      <c r="G34">
        <v>17.2</v>
      </c>
      <c r="H34">
        <v>34.5</v>
      </c>
      <c r="I34" t="s">
        <v>35</v>
      </c>
    </row>
    <row r="35" spans="1:9" x14ac:dyDescent="0.75">
      <c r="A35" s="1">
        <v>45830</v>
      </c>
      <c r="B35" s="1" t="s">
        <v>27</v>
      </c>
      <c r="C35" t="s">
        <v>38</v>
      </c>
      <c r="D35">
        <v>0.3</v>
      </c>
      <c r="E35">
        <v>16.8</v>
      </c>
      <c r="F35" s="2">
        <v>0.64097222222222205</v>
      </c>
      <c r="G35">
        <v>17.2</v>
      </c>
      <c r="H35">
        <v>34.5</v>
      </c>
      <c r="I35" t="s">
        <v>35</v>
      </c>
    </row>
    <row r="36" spans="1:9" x14ac:dyDescent="0.75">
      <c r="A36" s="1">
        <v>45830</v>
      </c>
      <c r="B36" s="1" t="s">
        <v>27</v>
      </c>
      <c r="C36" t="s">
        <v>38</v>
      </c>
      <c r="D36">
        <v>0.3</v>
      </c>
      <c r="E36">
        <v>16.8</v>
      </c>
      <c r="F36" s="2">
        <v>0.64097222222222205</v>
      </c>
      <c r="G36">
        <v>17.2</v>
      </c>
      <c r="H36">
        <v>34.5</v>
      </c>
      <c r="I36" t="s">
        <v>35</v>
      </c>
    </row>
    <row r="37" spans="1:9" x14ac:dyDescent="0.75">
      <c r="A37" s="1">
        <v>45830</v>
      </c>
      <c r="B37" s="1" t="s">
        <v>27</v>
      </c>
      <c r="C37" t="s">
        <v>38</v>
      </c>
      <c r="D37">
        <v>0.3</v>
      </c>
      <c r="E37">
        <v>16.8</v>
      </c>
      <c r="F37" s="2">
        <v>0.64097222222222205</v>
      </c>
      <c r="G37">
        <v>17.2</v>
      </c>
      <c r="H37">
        <v>34.5</v>
      </c>
      <c r="I37" t="s">
        <v>35</v>
      </c>
    </row>
    <row r="38" spans="1:9" x14ac:dyDescent="0.75">
      <c r="A38" s="1">
        <v>45830</v>
      </c>
      <c r="B38" s="1" t="s">
        <v>28</v>
      </c>
      <c r="C38" t="s">
        <v>39</v>
      </c>
      <c r="D38">
        <v>0.5</v>
      </c>
      <c r="E38">
        <v>16.2</v>
      </c>
      <c r="F38" s="2">
        <v>0.71319444444444446</v>
      </c>
      <c r="G38">
        <v>17.5</v>
      </c>
      <c r="H38">
        <v>32.1</v>
      </c>
      <c r="I38" t="s">
        <v>35</v>
      </c>
    </row>
    <row r="39" spans="1:9" x14ac:dyDescent="0.75">
      <c r="A39" s="1">
        <v>45830</v>
      </c>
      <c r="B39" s="1" t="s">
        <v>28</v>
      </c>
      <c r="C39" t="s">
        <v>39</v>
      </c>
      <c r="D39">
        <v>0.5</v>
      </c>
      <c r="E39">
        <v>16.2</v>
      </c>
      <c r="F39" s="2">
        <v>0.71319444444444446</v>
      </c>
      <c r="G39">
        <v>17.5</v>
      </c>
      <c r="H39">
        <v>32.799999999999997</v>
      </c>
      <c r="I39" t="s">
        <v>35</v>
      </c>
    </row>
    <row r="40" spans="1:9" x14ac:dyDescent="0.75">
      <c r="A40" s="1">
        <v>45830</v>
      </c>
      <c r="B40" s="1" t="s">
        <v>28</v>
      </c>
      <c r="C40" t="s">
        <v>39</v>
      </c>
      <c r="D40">
        <v>0.5</v>
      </c>
      <c r="E40">
        <v>16.2</v>
      </c>
      <c r="F40" s="2">
        <v>0.71319444444444402</v>
      </c>
      <c r="G40">
        <v>17.5</v>
      </c>
      <c r="H40">
        <v>32.9</v>
      </c>
      <c r="I40" t="s">
        <v>35</v>
      </c>
    </row>
    <row r="41" spans="1:9" x14ac:dyDescent="0.75">
      <c r="A41" s="1">
        <v>45830</v>
      </c>
      <c r="B41" s="1" t="s">
        <v>28</v>
      </c>
      <c r="C41" t="s">
        <v>39</v>
      </c>
      <c r="D41">
        <v>0.5</v>
      </c>
      <c r="E41">
        <v>16.2</v>
      </c>
      <c r="F41" s="2">
        <v>0.71319444444444402</v>
      </c>
      <c r="G41">
        <v>17.5</v>
      </c>
      <c r="H41">
        <v>32.9</v>
      </c>
      <c r="I41" t="s">
        <v>35</v>
      </c>
    </row>
    <row r="42" spans="1:9" x14ac:dyDescent="0.75">
      <c r="A42" s="1">
        <v>45830</v>
      </c>
      <c r="B42" s="1" t="s">
        <v>28</v>
      </c>
      <c r="C42" t="s">
        <v>39</v>
      </c>
      <c r="D42">
        <v>0.5</v>
      </c>
      <c r="E42">
        <v>16.2</v>
      </c>
      <c r="F42" s="2">
        <v>0.71319444444444402</v>
      </c>
      <c r="G42">
        <v>17.5</v>
      </c>
      <c r="H42">
        <v>33.1</v>
      </c>
      <c r="I42" t="s">
        <v>35</v>
      </c>
    </row>
    <row r="43" spans="1:9" x14ac:dyDescent="0.75">
      <c r="A43" s="1">
        <v>45830</v>
      </c>
      <c r="B43" s="1" t="s">
        <v>28</v>
      </c>
      <c r="C43" t="s">
        <v>39</v>
      </c>
      <c r="D43">
        <v>0.5</v>
      </c>
      <c r="E43">
        <v>16.2</v>
      </c>
      <c r="F43" s="2">
        <v>0.71319444444444402</v>
      </c>
      <c r="G43">
        <v>17.5</v>
      </c>
      <c r="H43">
        <v>33.1</v>
      </c>
      <c r="I43" t="s">
        <v>35</v>
      </c>
    </row>
    <row r="44" spans="1:9" x14ac:dyDescent="0.75">
      <c r="A44" s="1">
        <v>45830</v>
      </c>
      <c r="B44" s="1" t="s">
        <v>28</v>
      </c>
      <c r="C44" t="s">
        <v>39</v>
      </c>
      <c r="D44">
        <v>0.5</v>
      </c>
      <c r="E44">
        <v>16.2</v>
      </c>
      <c r="F44" s="2">
        <v>0.71319444444444402</v>
      </c>
      <c r="G44">
        <v>17.5</v>
      </c>
      <c r="H44">
        <v>33.5</v>
      </c>
      <c r="I44" t="s">
        <v>35</v>
      </c>
    </row>
    <row r="45" spans="1:9" x14ac:dyDescent="0.75">
      <c r="A45" s="1">
        <v>45830</v>
      </c>
      <c r="B45" s="1" t="s">
        <v>28</v>
      </c>
      <c r="C45" t="s">
        <v>39</v>
      </c>
      <c r="D45">
        <v>0.5</v>
      </c>
      <c r="E45">
        <v>16.2</v>
      </c>
      <c r="F45" s="2">
        <v>0.71319444444444402</v>
      </c>
      <c r="G45">
        <v>17.5</v>
      </c>
      <c r="H45">
        <v>33.5</v>
      </c>
      <c r="I45" t="s">
        <v>35</v>
      </c>
    </row>
    <row r="46" spans="1:9" x14ac:dyDescent="0.75">
      <c r="A46" s="1">
        <v>45830</v>
      </c>
      <c r="B46" s="1" t="s">
        <v>28</v>
      </c>
      <c r="C46" t="s">
        <v>39</v>
      </c>
      <c r="D46">
        <v>0.5</v>
      </c>
      <c r="E46">
        <v>16.2</v>
      </c>
      <c r="F46" s="2">
        <v>0.71319444444444402</v>
      </c>
      <c r="G46">
        <v>17.5</v>
      </c>
      <c r="H46">
        <v>33.6</v>
      </c>
      <c r="I46" t="s">
        <v>35</v>
      </c>
    </row>
    <row r="47" spans="1:9" x14ac:dyDescent="0.75">
      <c r="A47" s="1">
        <v>45830</v>
      </c>
      <c r="B47" s="1" t="s">
        <v>28</v>
      </c>
      <c r="C47" t="s">
        <v>39</v>
      </c>
      <c r="D47">
        <v>0.5</v>
      </c>
      <c r="E47">
        <v>16.2</v>
      </c>
      <c r="F47" s="2">
        <v>0.71319444444444402</v>
      </c>
      <c r="G47">
        <v>17.5</v>
      </c>
      <c r="H47">
        <v>33.6</v>
      </c>
      <c r="I47" t="s">
        <v>35</v>
      </c>
    </row>
    <row r="48" spans="1:9" x14ac:dyDescent="0.75">
      <c r="A48" s="1">
        <v>45830</v>
      </c>
      <c r="B48" s="1" t="s">
        <v>28</v>
      </c>
      <c r="C48" t="s">
        <v>39</v>
      </c>
      <c r="D48">
        <v>0.5</v>
      </c>
      <c r="E48">
        <v>16.2</v>
      </c>
      <c r="F48" s="2">
        <v>0.71319444444444402</v>
      </c>
      <c r="G48">
        <v>17.5</v>
      </c>
      <c r="H48">
        <v>33.700000000000003</v>
      </c>
      <c r="I48" t="s">
        <v>35</v>
      </c>
    </row>
    <row r="49" spans="1:9" x14ac:dyDescent="0.75">
      <c r="A49" s="1">
        <v>45830</v>
      </c>
      <c r="B49" s="1" t="s">
        <v>28</v>
      </c>
      <c r="C49" t="s">
        <v>39</v>
      </c>
      <c r="D49">
        <v>0.5</v>
      </c>
      <c r="E49">
        <v>16.2</v>
      </c>
      <c r="F49" s="2">
        <v>0.71319444444444402</v>
      </c>
      <c r="G49">
        <v>17.5</v>
      </c>
      <c r="H49">
        <v>33.700000000000003</v>
      </c>
      <c r="I49" t="s">
        <v>35</v>
      </c>
    </row>
    <row r="50" spans="1:9" x14ac:dyDescent="0.75">
      <c r="A50" s="1">
        <v>45830</v>
      </c>
      <c r="B50" s="1" t="s">
        <v>28</v>
      </c>
      <c r="C50" t="s">
        <v>39</v>
      </c>
      <c r="D50">
        <v>0.5</v>
      </c>
      <c r="E50">
        <v>16.2</v>
      </c>
      <c r="F50" s="2">
        <v>0.71319444444444402</v>
      </c>
      <c r="G50">
        <v>17.5</v>
      </c>
      <c r="H50">
        <v>34</v>
      </c>
      <c r="I50" t="s">
        <v>35</v>
      </c>
    </row>
    <row r="51" spans="1:9" x14ac:dyDescent="0.75">
      <c r="A51" s="1">
        <v>45830</v>
      </c>
      <c r="B51" s="1" t="s">
        <v>28</v>
      </c>
      <c r="C51" t="s">
        <v>39</v>
      </c>
      <c r="D51">
        <v>0.5</v>
      </c>
      <c r="E51">
        <v>16.2</v>
      </c>
      <c r="F51" s="2">
        <v>0.71319444444444402</v>
      </c>
      <c r="G51">
        <v>17.5</v>
      </c>
      <c r="H51">
        <v>34</v>
      </c>
      <c r="I51" t="s">
        <v>35</v>
      </c>
    </row>
    <row r="52" spans="1:9" x14ac:dyDescent="0.75">
      <c r="A52" s="1">
        <v>45830</v>
      </c>
      <c r="B52" s="1" t="s">
        <v>28</v>
      </c>
      <c r="C52" t="s">
        <v>39</v>
      </c>
      <c r="D52">
        <v>0.5</v>
      </c>
      <c r="E52">
        <v>16.2</v>
      </c>
      <c r="F52" s="2">
        <v>0.71319444444444402</v>
      </c>
      <c r="G52">
        <v>17.5</v>
      </c>
      <c r="H52">
        <v>34</v>
      </c>
      <c r="I52" t="s">
        <v>35</v>
      </c>
    </row>
    <row r="53" spans="1:9" x14ac:dyDescent="0.75">
      <c r="A53" s="1">
        <v>45830</v>
      </c>
      <c r="B53" s="1" t="s">
        <v>28</v>
      </c>
      <c r="C53" t="s">
        <v>39</v>
      </c>
      <c r="D53">
        <v>0.5</v>
      </c>
      <c r="E53">
        <v>16.2</v>
      </c>
      <c r="F53" s="2">
        <v>0.71319444444444402</v>
      </c>
      <c r="G53">
        <v>17.5</v>
      </c>
      <c r="H53">
        <v>34.200000000000003</v>
      </c>
      <c r="I53" t="s">
        <v>35</v>
      </c>
    </row>
    <row r="54" spans="1:9" x14ac:dyDescent="0.75">
      <c r="A54" s="1">
        <v>45830</v>
      </c>
      <c r="B54" s="1" t="s">
        <v>28</v>
      </c>
      <c r="C54" t="s">
        <v>39</v>
      </c>
      <c r="D54">
        <v>0.5</v>
      </c>
      <c r="E54">
        <v>16.2</v>
      </c>
      <c r="F54" s="2">
        <v>0.71319444444444402</v>
      </c>
      <c r="G54">
        <v>17.5</v>
      </c>
      <c r="H54">
        <v>34.200000000000003</v>
      </c>
      <c r="I54" t="s">
        <v>35</v>
      </c>
    </row>
    <row r="55" spans="1:9" x14ac:dyDescent="0.75">
      <c r="A55" s="1">
        <v>45830</v>
      </c>
      <c r="B55" s="1" t="s">
        <v>28</v>
      </c>
      <c r="C55" t="s">
        <v>39</v>
      </c>
      <c r="D55">
        <v>0.5</v>
      </c>
      <c r="E55">
        <v>16.2</v>
      </c>
      <c r="F55" s="2">
        <v>0.71319444444444402</v>
      </c>
      <c r="G55">
        <v>17.5</v>
      </c>
      <c r="H55">
        <v>34.200000000000003</v>
      </c>
      <c r="I55" t="s">
        <v>35</v>
      </c>
    </row>
    <row r="56" spans="1:9" x14ac:dyDescent="0.75">
      <c r="A56" s="1">
        <v>45830</v>
      </c>
      <c r="B56" s="1" t="s">
        <v>29</v>
      </c>
      <c r="C56" t="s">
        <v>40</v>
      </c>
      <c r="D56">
        <v>0.5</v>
      </c>
      <c r="E56">
        <v>16</v>
      </c>
      <c r="F56" s="2">
        <v>0.75555555555555554</v>
      </c>
      <c r="G56">
        <v>17.3</v>
      </c>
      <c r="H56">
        <v>31.2</v>
      </c>
      <c r="I56" t="s">
        <v>35</v>
      </c>
    </row>
    <row r="57" spans="1:9" x14ac:dyDescent="0.75">
      <c r="A57" s="1">
        <v>45830</v>
      </c>
      <c r="B57" s="1" t="s">
        <v>29</v>
      </c>
      <c r="C57" t="s">
        <v>40</v>
      </c>
      <c r="D57">
        <v>0.5</v>
      </c>
      <c r="E57">
        <v>16</v>
      </c>
      <c r="F57" s="2">
        <v>0.75555555555555554</v>
      </c>
      <c r="G57">
        <v>17.3</v>
      </c>
      <c r="H57">
        <v>32.200000000000003</v>
      </c>
      <c r="I57" t="s">
        <v>35</v>
      </c>
    </row>
    <row r="58" spans="1:9" x14ac:dyDescent="0.75">
      <c r="A58" s="1">
        <v>45830</v>
      </c>
      <c r="B58" s="1" t="s">
        <v>29</v>
      </c>
      <c r="C58" t="s">
        <v>40</v>
      </c>
      <c r="D58">
        <v>0.5</v>
      </c>
      <c r="E58">
        <v>16</v>
      </c>
      <c r="F58" s="2">
        <v>0.75555555555555598</v>
      </c>
      <c r="G58">
        <v>17.3</v>
      </c>
      <c r="H58">
        <v>32.200000000000003</v>
      </c>
      <c r="I58" t="s">
        <v>35</v>
      </c>
    </row>
    <row r="59" spans="1:9" x14ac:dyDescent="0.75">
      <c r="A59" s="1">
        <v>45830</v>
      </c>
      <c r="B59" s="1" t="s">
        <v>29</v>
      </c>
      <c r="C59" t="s">
        <v>40</v>
      </c>
      <c r="D59">
        <v>0.5</v>
      </c>
      <c r="E59">
        <v>16</v>
      </c>
      <c r="F59" s="2">
        <v>0.75555555555555598</v>
      </c>
      <c r="G59">
        <v>17.3</v>
      </c>
      <c r="H59">
        <v>32.4</v>
      </c>
      <c r="I59" t="s">
        <v>35</v>
      </c>
    </row>
    <row r="60" spans="1:9" x14ac:dyDescent="0.75">
      <c r="A60" s="1">
        <v>45830</v>
      </c>
      <c r="B60" s="1" t="s">
        <v>29</v>
      </c>
      <c r="C60" t="s">
        <v>40</v>
      </c>
      <c r="D60">
        <v>0.5</v>
      </c>
      <c r="E60">
        <v>16</v>
      </c>
      <c r="F60" s="2">
        <v>0.75555555555555598</v>
      </c>
      <c r="G60">
        <v>17.3</v>
      </c>
      <c r="H60">
        <v>32.799999999999997</v>
      </c>
      <c r="I60" t="s">
        <v>35</v>
      </c>
    </row>
    <row r="61" spans="1:9" x14ac:dyDescent="0.75">
      <c r="A61" s="1">
        <v>45830</v>
      </c>
      <c r="B61" s="1" t="s">
        <v>29</v>
      </c>
      <c r="C61" t="s">
        <v>40</v>
      </c>
      <c r="D61">
        <v>0.5</v>
      </c>
      <c r="E61">
        <v>16</v>
      </c>
      <c r="F61" s="2">
        <v>0.75555555555555598</v>
      </c>
      <c r="G61">
        <v>17.3</v>
      </c>
      <c r="H61">
        <v>33</v>
      </c>
      <c r="I61" t="s">
        <v>35</v>
      </c>
    </row>
    <row r="62" spans="1:9" x14ac:dyDescent="0.75">
      <c r="A62" s="1">
        <v>45830</v>
      </c>
      <c r="B62" s="1" t="s">
        <v>29</v>
      </c>
      <c r="C62" t="s">
        <v>40</v>
      </c>
      <c r="D62">
        <v>0.5</v>
      </c>
      <c r="E62">
        <v>16</v>
      </c>
      <c r="F62" s="2">
        <v>0.75555555555555598</v>
      </c>
      <c r="G62">
        <v>17.3</v>
      </c>
      <c r="H62">
        <v>33.299999999999997</v>
      </c>
      <c r="I62" t="s">
        <v>35</v>
      </c>
    </row>
    <row r="63" spans="1:9" x14ac:dyDescent="0.75">
      <c r="A63" s="1">
        <v>45830</v>
      </c>
      <c r="B63" s="1" t="s">
        <v>29</v>
      </c>
      <c r="C63" t="s">
        <v>40</v>
      </c>
      <c r="D63">
        <v>0.5</v>
      </c>
      <c r="E63">
        <v>16</v>
      </c>
      <c r="F63" s="2">
        <v>0.75555555555555598</v>
      </c>
      <c r="G63">
        <v>17.3</v>
      </c>
      <c r="H63">
        <v>33.5</v>
      </c>
      <c r="I63" t="s">
        <v>35</v>
      </c>
    </row>
    <row r="64" spans="1:9" x14ac:dyDescent="0.75">
      <c r="A64" s="1">
        <v>45830</v>
      </c>
      <c r="B64" s="1" t="s">
        <v>29</v>
      </c>
      <c r="C64" t="s">
        <v>40</v>
      </c>
      <c r="D64">
        <v>0.5</v>
      </c>
      <c r="E64">
        <v>16</v>
      </c>
      <c r="F64" s="2">
        <v>0.75555555555555598</v>
      </c>
      <c r="G64">
        <v>17.3</v>
      </c>
      <c r="H64">
        <v>33.6</v>
      </c>
      <c r="I64" t="s">
        <v>35</v>
      </c>
    </row>
    <row r="65" spans="1:9" x14ac:dyDescent="0.75">
      <c r="A65" s="1">
        <v>45830</v>
      </c>
      <c r="B65" s="1" t="s">
        <v>29</v>
      </c>
      <c r="C65" t="s">
        <v>40</v>
      </c>
      <c r="D65">
        <v>0.5</v>
      </c>
      <c r="E65">
        <v>16</v>
      </c>
      <c r="F65" s="2">
        <v>0.75555555555555598</v>
      </c>
      <c r="G65">
        <v>17.3</v>
      </c>
      <c r="H65">
        <v>33.700000000000003</v>
      </c>
      <c r="I65" t="s">
        <v>35</v>
      </c>
    </row>
    <row r="66" spans="1:9" x14ac:dyDescent="0.75">
      <c r="A66" s="1">
        <v>45830</v>
      </c>
      <c r="B66" s="1" t="s">
        <v>29</v>
      </c>
      <c r="C66" t="s">
        <v>40</v>
      </c>
      <c r="D66">
        <v>0.5</v>
      </c>
      <c r="E66">
        <v>16</v>
      </c>
      <c r="F66" s="2">
        <v>0.75555555555555598</v>
      </c>
      <c r="G66">
        <v>17.3</v>
      </c>
      <c r="H66">
        <v>33.799999999999997</v>
      </c>
      <c r="I66" t="s">
        <v>35</v>
      </c>
    </row>
    <row r="67" spans="1:9" x14ac:dyDescent="0.75">
      <c r="A67" s="1">
        <v>45830</v>
      </c>
      <c r="B67" s="1" t="s">
        <v>29</v>
      </c>
      <c r="C67" t="s">
        <v>40</v>
      </c>
      <c r="D67">
        <v>0.5</v>
      </c>
      <c r="E67">
        <v>16</v>
      </c>
      <c r="F67" s="2">
        <v>0.75555555555555598</v>
      </c>
      <c r="G67">
        <v>17.3</v>
      </c>
      <c r="H67">
        <v>33.9</v>
      </c>
      <c r="I67" t="s">
        <v>35</v>
      </c>
    </row>
    <row r="68" spans="1:9" x14ac:dyDescent="0.75">
      <c r="A68" s="1">
        <v>45830</v>
      </c>
      <c r="B68" s="1" t="s">
        <v>29</v>
      </c>
      <c r="C68" t="s">
        <v>40</v>
      </c>
      <c r="D68">
        <v>0.5</v>
      </c>
      <c r="E68">
        <v>16</v>
      </c>
      <c r="F68" s="2">
        <v>0.75555555555555598</v>
      </c>
      <c r="G68">
        <v>17.3</v>
      </c>
      <c r="H68">
        <v>33.9</v>
      </c>
      <c r="I68" t="s">
        <v>35</v>
      </c>
    </row>
    <row r="69" spans="1:9" x14ac:dyDescent="0.75">
      <c r="A69" s="1">
        <v>45830</v>
      </c>
      <c r="B69" s="1" t="s">
        <v>29</v>
      </c>
      <c r="C69" t="s">
        <v>40</v>
      </c>
      <c r="D69">
        <v>0.5</v>
      </c>
      <c r="E69">
        <v>16</v>
      </c>
      <c r="F69" s="2">
        <v>0.75555555555555598</v>
      </c>
      <c r="G69">
        <v>17.3</v>
      </c>
      <c r="H69">
        <v>33.9</v>
      </c>
      <c r="I69" t="s">
        <v>35</v>
      </c>
    </row>
    <row r="70" spans="1:9" x14ac:dyDescent="0.75">
      <c r="A70" s="1">
        <v>45830</v>
      </c>
      <c r="B70" s="1" t="s">
        <v>29</v>
      </c>
      <c r="C70" t="s">
        <v>40</v>
      </c>
      <c r="D70">
        <v>0.5</v>
      </c>
      <c r="E70">
        <v>16</v>
      </c>
      <c r="F70" s="2">
        <v>0.75555555555555598</v>
      </c>
      <c r="G70">
        <v>17.3</v>
      </c>
      <c r="H70">
        <v>34.1</v>
      </c>
      <c r="I70" t="s">
        <v>35</v>
      </c>
    </row>
    <row r="71" spans="1:9" x14ac:dyDescent="0.75">
      <c r="A71" s="1">
        <v>45830</v>
      </c>
      <c r="B71" s="1" t="s">
        <v>29</v>
      </c>
      <c r="C71" t="s">
        <v>40</v>
      </c>
      <c r="D71">
        <v>0.5</v>
      </c>
      <c r="E71">
        <v>16</v>
      </c>
      <c r="F71" s="2">
        <v>0.75555555555555598</v>
      </c>
      <c r="G71">
        <v>17.3</v>
      </c>
      <c r="H71">
        <v>34.1</v>
      </c>
      <c r="I71" t="s">
        <v>35</v>
      </c>
    </row>
    <row r="72" spans="1:9" x14ac:dyDescent="0.75">
      <c r="A72" s="1">
        <v>45830</v>
      </c>
      <c r="B72" s="1" t="s">
        <v>29</v>
      </c>
      <c r="C72" t="s">
        <v>40</v>
      </c>
      <c r="D72">
        <v>0.5</v>
      </c>
      <c r="E72">
        <v>16</v>
      </c>
      <c r="F72" s="2">
        <v>0.75555555555555598</v>
      </c>
      <c r="G72">
        <v>17.3</v>
      </c>
      <c r="H72">
        <v>34.4</v>
      </c>
      <c r="I72" t="s">
        <v>35</v>
      </c>
    </row>
    <row r="73" spans="1:9" x14ac:dyDescent="0.75">
      <c r="A73" s="1">
        <v>45830</v>
      </c>
      <c r="B73" s="1" t="s">
        <v>29</v>
      </c>
      <c r="C73" t="s">
        <v>40</v>
      </c>
      <c r="D73">
        <v>0.5</v>
      </c>
      <c r="E73">
        <v>16</v>
      </c>
      <c r="F73" s="2">
        <v>0.75555555555555598</v>
      </c>
      <c r="G73">
        <v>17.3</v>
      </c>
      <c r="H73">
        <v>34.4</v>
      </c>
      <c r="I73" t="s">
        <v>35</v>
      </c>
    </row>
    <row r="74" spans="1:9" x14ac:dyDescent="0.75">
      <c r="A74" s="1">
        <v>45830</v>
      </c>
      <c r="B74" s="1" t="s">
        <v>30</v>
      </c>
      <c r="C74" t="s">
        <v>42</v>
      </c>
      <c r="D74">
        <f>0.87/60</f>
        <v>1.4500000000000001E-2</v>
      </c>
      <c r="E74">
        <v>16.7</v>
      </c>
      <c r="F74" s="2">
        <v>0.96666666666666667</v>
      </c>
      <c r="G74">
        <v>17.899999999999999</v>
      </c>
      <c r="H74">
        <v>30.1</v>
      </c>
      <c r="I74" t="s">
        <v>43</v>
      </c>
    </row>
    <row r="75" spans="1:9" x14ac:dyDescent="0.75">
      <c r="A75" s="1">
        <v>45830</v>
      </c>
      <c r="B75" s="1" t="s">
        <v>30</v>
      </c>
      <c r="C75" t="s">
        <v>42</v>
      </c>
      <c r="D75">
        <f>0.87/60</f>
        <v>1.4500000000000001E-2</v>
      </c>
      <c r="E75">
        <v>16.7</v>
      </c>
      <c r="F75" s="2">
        <v>0.96666666666666667</v>
      </c>
      <c r="G75">
        <v>17.899999999999999</v>
      </c>
      <c r="H75">
        <v>30.7</v>
      </c>
      <c r="I75" t="s">
        <v>43</v>
      </c>
    </row>
    <row r="76" spans="1:9" x14ac:dyDescent="0.75">
      <c r="A76" s="1">
        <v>45830</v>
      </c>
      <c r="B76" s="1" t="s">
        <v>30</v>
      </c>
      <c r="C76" t="s">
        <v>42</v>
      </c>
      <c r="D76">
        <f t="shared" ref="D76:D103" si="0">0.87/60</f>
        <v>1.4500000000000001E-2</v>
      </c>
      <c r="E76">
        <v>16.7</v>
      </c>
      <c r="F76" s="2">
        <v>0.96666666666666701</v>
      </c>
      <c r="G76">
        <v>17.899999999999999</v>
      </c>
      <c r="H76">
        <v>30.7</v>
      </c>
      <c r="I76" t="s">
        <v>43</v>
      </c>
    </row>
    <row r="77" spans="1:9" x14ac:dyDescent="0.75">
      <c r="A77" s="1">
        <v>45830</v>
      </c>
      <c r="B77" s="1" t="s">
        <v>30</v>
      </c>
      <c r="C77" t="s">
        <v>42</v>
      </c>
      <c r="D77">
        <f t="shared" si="0"/>
        <v>1.4500000000000001E-2</v>
      </c>
      <c r="E77">
        <v>16.7</v>
      </c>
      <c r="F77" s="2">
        <v>0.96666666666666701</v>
      </c>
      <c r="G77">
        <v>17.899999999999999</v>
      </c>
      <c r="H77">
        <v>31</v>
      </c>
      <c r="I77" t="s">
        <v>43</v>
      </c>
    </row>
    <row r="78" spans="1:9" x14ac:dyDescent="0.75">
      <c r="A78" s="1">
        <v>45830</v>
      </c>
      <c r="B78" s="1" t="s">
        <v>30</v>
      </c>
      <c r="C78" t="s">
        <v>42</v>
      </c>
      <c r="D78">
        <f t="shared" si="0"/>
        <v>1.4500000000000001E-2</v>
      </c>
      <c r="E78">
        <v>16.7</v>
      </c>
      <c r="F78" s="2">
        <v>0.96666666666666701</v>
      </c>
      <c r="G78">
        <v>17.899999999999999</v>
      </c>
      <c r="H78">
        <v>31.2</v>
      </c>
      <c r="I78" t="s">
        <v>43</v>
      </c>
    </row>
    <row r="79" spans="1:9" x14ac:dyDescent="0.75">
      <c r="A79" s="1">
        <v>45830</v>
      </c>
      <c r="B79" s="1" t="s">
        <v>30</v>
      </c>
      <c r="C79" t="s">
        <v>42</v>
      </c>
      <c r="D79">
        <f t="shared" si="0"/>
        <v>1.4500000000000001E-2</v>
      </c>
      <c r="E79">
        <v>16.7</v>
      </c>
      <c r="F79" s="2">
        <v>0.96666666666666701</v>
      </c>
      <c r="G79">
        <v>17.899999999999999</v>
      </c>
      <c r="H79">
        <v>31.5</v>
      </c>
      <c r="I79" t="s">
        <v>43</v>
      </c>
    </row>
    <row r="80" spans="1:9" x14ac:dyDescent="0.75">
      <c r="A80" s="1">
        <v>45830</v>
      </c>
      <c r="B80" s="1" t="s">
        <v>30</v>
      </c>
      <c r="C80" t="s">
        <v>42</v>
      </c>
      <c r="D80">
        <f t="shared" si="0"/>
        <v>1.4500000000000001E-2</v>
      </c>
      <c r="E80">
        <v>16.7</v>
      </c>
      <c r="F80" s="2">
        <v>0.96666666666666701</v>
      </c>
      <c r="G80">
        <v>17.899999999999999</v>
      </c>
      <c r="H80">
        <v>31.5</v>
      </c>
      <c r="I80" t="s">
        <v>43</v>
      </c>
    </row>
    <row r="81" spans="1:9" x14ac:dyDescent="0.75">
      <c r="A81" s="1">
        <v>45830</v>
      </c>
      <c r="B81" s="1" t="s">
        <v>30</v>
      </c>
      <c r="C81" t="s">
        <v>42</v>
      </c>
      <c r="D81">
        <f t="shared" si="0"/>
        <v>1.4500000000000001E-2</v>
      </c>
      <c r="E81">
        <v>16.7</v>
      </c>
      <c r="F81" s="2">
        <v>0.96666666666666701</v>
      </c>
      <c r="G81">
        <v>17.899999999999999</v>
      </c>
      <c r="H81">
        <v>31.7</v>
      </c>
      <c r="I81" t="s">
        <v>43</v>
      </c>
    </row>
    <row r="82" spans="1:9" x14ac:dyDescent="0.75">
      <c r="A82" s="1">
        <v>45830</v>
      </c>
      <c r="B82" s="1" t="s">
        <v>30</v>
      </c>
      <c r="C82" t="s">
        <v>42</v>
      </c>
      <c r="D82">
        <f t="shared" si="0"/>
        <v>1.4500000000000001E-2</v>
      </c>
      <c r="E82">
        <v>16.7</v>
      </c>
      <c r="F82" s="2">
        <v>0.96666666666666701</v>
      </c>
      <c r="G82">
        <v>17.899999999999999</v>
      </c>
      <c r="H82">
        <v>32.799999999999997</v>
      </c>
      <c r="I82" t="s">
        <v>43</v>
      </c>
    </row>
    <row r="83" spans="1:9" x14ac:dyDescent="0.75">
      <c r="A83" s="1">
        <v>45830</v>
      </c>
      <c r="B83" s="1" t="s">
        <v>30</v>
      </c>
      <c r="C83" t="s">
        <v>42</v>
      </c>
      <c r="D83">
        <f t="shared" si="0"/>
        <v>1.4500000000000001E-2</v>
      </c>
      <c r="E83">
        <v>16.7</v>
      </c>
      <c r="F83" s="2">
        <v>0.96666666666666701</v>
      </c>
      <c r="G83">
        <v>17.899999999999999</v>
      </c>
      <c r="H83">
        <v>32.799999999999997</v>
      </c>
      <c r="I83" t="s">
        <v>43</v>
      </c>
    </row>
    <row r="84" spans="1:9" x14ac:dyDescent="0.75">
      <c r="A84" s="1">
        <v>45830</v>
      </c>
      <c r="B84" s="1" t="s">
        <v>30</v>
      </c>
      <c r="C84" t="s">
        <v>42</v>
      </c>
      <c r="D84">
        <f t="shared" si="0"/>
        <v>1.4500000000000001E-2</v>
      </c>
      <c r="E84">
        <v>16.7</v>
      </c>
      <c r="F84" s="2">
        <v>0.96666666666666701</v>
      </c>
      <c r="G84">
        <v>17.899999999999999</v>
      </c>
      <c r="H84">
        <v>32.9</v>
      </c>
      <c r="I84" t="s">
        <v>43</v>
      </c>
    </row>
    <row r="85" spans="1:9" x14ac:dyDescent="0.75">
      <c r="A85" s="1">
        <v>45830</v>
      </c>
      <c r="B85" s="1" t="s">
        <v>30</v>
      </c>
      <c r="C85" t="s">
        <v>42</v>
      </c>
      <c r="D85">
        <f t="shared" si="0"/>
        <v>1.4500000000000001E-2</v>
      </c>
      <c r="E85">
        <v>16.7</v>
      </c>
      <c r="F85" s="2">
        <v>0.96666666666666701</v>
      </c>
      <c r="G85">
        <v>17.899999999999999</v>
      </c>
      <c r="H85">
        <v>33</v>
      </c>
      <c r="I85" t="s">
        <v>43</v>
      </c>
    </row>
    <row r="86" spans="1:9" x14ac:dyDescent="0.75">
      <c r="A86" s="1">
        <v>45830</v>
      </c>
      <c r="B86" s="1" t="s">
        <v>30</v>
      </c>
      <c r="C86" t="s">
        <v>42</v>
      </c>
      <c r="D86">
        <f t="shared" si="0"/>
        <v>1.4500000000000001E-2</v>
      </c>
      <c r="E86">
        <v>16.7</v>
      </c>
      <c r="F86" s="2">
        <v>0.96666666666666701</v>
      </c>
      <c r="G86">
        <v>17.899999999999999</v>
      </c>
      <c r="H86">
        <v>33.299999999999997</v>
      </c>
      <c r="I86" t="s">
        <v>43</v>
      </c>
    </row>
    <row r="87" spans="1:9" x14ac:dyDescent="0.75">
      <c r="A87" s="1">
        <v>45830</v>
      </c>
      <c r="B87" s="1" t="s">
        <v>30</v>
      </c>
      <c r="C87" t="s">
        <v>42</v>
      </c>
      <c r="D87">
        <f t="shared" si="0"/>
        <v>1.4500000000000001E-2</v>
      </c>
      <c r="E87">
        <v>16.7</v>
      </c>
      <c r="F87" s="2">
        <v>0.96666666666666701</v>
      </c>
      <c r="G87">
        <v>17.899999999999999</v>
      </c>
      <c r="H87">
        <v>33.4</v>
      </c>
      <c r="I87" t="s">
        <v>43</v>
      </c>
    </row>
    <row r="88" spans="1:9" x14ac:dyDescent="0.75">
      <c r="A88" s="1">
        <v>45830</v>
      </c>
      <c r="B88" s="1" t="s">
        <v>30</v>
      </c>
      <c r="C88" t="s">
        <v>42</v>
      </c>
      <c r="D88">
        <f t="shared" si="0"/>
        <v>1.4500000000000001E-2</v>
      </c>
      <c r="E88">
        <v>16.7</v>
      </c>
      <c r="F88" s="2">
        <v>0.96666666666666701</v>
      </c>
      <c r="G88">
        <v>17.899999999999999</v>
      </c>
      <c r="H88">
        <v>33.700000000000003</v>
      </c>
      <c r="I88" t="s">
        <v>43</v>
      </c>
    </row>
    <row r="89" spans="1:9" x14ac:dyDescent="0.75">
      <c r="A89" s="1">
        <v>45830</v>
      </c>
      <c r="B89" s="1" t="s">
        <v>30</v>
      </c>
      <c r="C89" t="s">
        <v>42</v>
      </c>
      <c r="D89">
        <f>0.87/60</f>
        <v>1.4500000000000001E-2</v>
      </c>
      <c r="E89">
        <v>16.7</v>
      </c>
      <c r="F89" s="2">
        <v>0.96666666666666701</v>
      </c>
      <c r="G89">
        <v>17.899999999999999</v>
      </c>
      <c r="H89">
        <v>33.799999999999997</v>
      </c>
      <c r="I89" t="s">
        <v>43</v>
      </c>
    </row>
    <row r="90" spans="1:9" x14ac:dyDescent="0.75">
      <c r="A90" s="1">
        <v>45830</v>
      </c>
      <c r="B90" s="1" t="s">
        <v>31</v>
      </c>
      <c r="C90" t="s">
        <v>42</v>
      </c>
      <c r="D90">
        <f t="shared" si="0"/>
        <v>1.4500000000000001E-2</v>
      </c>
      <c r="E90">
        <v>16.7</v>
      </c>
      <c r="F90" s="2">
        <v>0.96666666666666701</v>
      </c>
      <c r="G90">
        <v>17.899999999999999</v>
      </c>
      <c r="H90">
        <v>30.2</v>
      </c>
      <c r="I90" t="s">
        <v>43</v>
      </c>
    </row>
    <row r="91" spans="1:9" x14ac:dyDescent="0.75">
      <c r="A91" s="1">
        <v>45830</v>
      </c>
      <c r="B91" s="1" t="s">
        <v>31</v>
      </c>
      <c r="C91" t="s">
        <v>42</v>
      </c>
      <c r="D91">
        <f t="shared" si="0"/>
        <v>1.4500000000000001E-2</v>
      </c>
      <c r="E91">
        <v>16.7</v>
      </c>
      <c r="F91" s="2">
        <v>0.96666666666666701</v>
      </c>
      <c r="G91">
        <v>17.899999999999999</v>
      </c>
      <c r="H91">
        <v>30.9</v>
      </c>
      <c r="I91" t="s">
        <v>43</v>
      </c>
    </row>
    <row r="92" spans="1:9" x14ac:dyDescent="0.75">
      <c r="A92" s="1">
        <v>45830</v>
      </c>
      <c r="B92" s="1" t="s">
        <v>31</v>
      </c>
      <c r="C92" t="s">
        <v>42</v>
      </c>
      <c r="D92">
        <f t="shared" si="0"/>
        <v>1.4500000000000001E-2</v>
      </c>
      <c r="E92">
        <v>16.7</v>
      </c>
      <c r="F92" s="2">
        <v>0.96666666666666701</v>
      </c>
      <c r="G92">
        <v>17.899999999999999</v>
      </c>
      <c r="H92">
        <v>31</v>
      </c>
      <c r="I92" t="s">
        <v>43</v>
      </c>
    </row>
    <row r="93" spans="1:9" x14ac:dyDescent="0.75">
      <c r="A93" s="1">
        <v>45830</v>
      </c>
      <c r="B93" s="1" t="s">
        <v>31</v>
      </c>
      <c r="C93" t="s">
        <v>42</v>
      </c>
      <c r="D93">
        <f t="shared" si="0"/>
        <v>1.4500000000000001E-2</v>
      </c>
      <c r="E93">
        <v>16.7</v>
      </c>
      <c r="F93" s="2">
        <v>0.96666666666666701</v>
      </c>
      <c r="G93">
        <v>17.899999999999999</v>
      </c>
      <c r="H93">
        <v>31.5</v>
      </c>
      <c r="I93" t="s">
        <v>43</v>
      </c>
    </row>
    <row r="94" spans="1:9" x14ac:dyDescent="0.75">
      <c r="A94" s="1">
        <v>45830</v>
      </c>
      <c r="B94" s="1" t="s">
        <v>31</v>
      </c>
      <c r="C94" t="s">
        <v>42</v>
      </c>
      <c r="D94">
        <f t="shared" si="0"/>
        <v>1.4500000000000001E-2</v>
      </c>
      <c r="E94">
        <v>16.7</v>
      </c>
      <c r="F94" s="2">
        <v>0.96666666666666701</v>
      </c>
      <c r="G94">
        <v>17.899999999999999</v>
      </c>
      <c r="H94">
        <v>32.200000000000003</v>
      </c>
      <c r="I94" t="s">
        <v>43</v>
      </c>
    </row>
    <row r="95" spans="1:9" x14ac:dyDescent="0.75">
      <c r="A95" s="1">
        <v>45830</v>
      </c>
      <c r="B95" s="1" t="s">
        <v>31</v>
      </c>
      <c r="C95" t="s">
        <v>42</v>
      </c>
      <c r="D95">
        <f t="shared" si="0"/>
        <v>1.4500000000000001E-2</v>
      </c>
      <c r="E95">
        <v>16.7</v>
      </c>
      <c r="F95" s="2">
        <v>0.96666666666666701</v>
      </c>
      <c r="G95">
        <v>17.899999999999999</v>
      </c>
      <c r="H95">
        <v>32.299999999999997</v>
      </c>
      <c r="I95" t="s">
        <v>43</v>
      </c>
    </row>
    <row r="96" spans="1:9" x14ac:dyDescent="0.75">
      <c r="A96" s="1">
        <v>45830</v>
      </c>
      <c r="B96" s="1" t="s">
        <v>31</v>
      </c>
      <c r="C96" t="s">
        <v>42</v>
      </c>
      <c r="D96">
        <f t="shared" si="0"/>
        <v>1.4500000000000001E-2</v>
      </c>
      <c r="E96">
        <v>16.7</v>
      </c>
      <c r="F96" s="2">
        <v>0.96666666666666701</v>
      </c>
      <c r="G96">
        <v>17.899999999999999</v>
      </c>
      <c r="H96">
        <v>33.1</v>
      </c>
      <c r="I96" t="s">
        <v>43</v>
      </c>
    </row>
    <row r="97" spans="1:9" x14ac:dyDescent="0.75">
      <c r="A97" s="1">
        <v>45830</v>
      </c>
      <c r="B97" s="1" t="s">
        <v>31</v>
      </c>
      <c r="C97" t="s">
        <v>42</v>
      </c>
      <c r="D97">
        <f t="shared" si="0"/>
        <v>1.4500000000000001E-2</v>
      </c>
      <c r="E97">
        <v>16.7</v>
      </c>
      <c r="F97" s="2">
        <v>0.96666666666666701</v>
      </c>
      <c r="G97">
        <v>17.899999999999999</v>
      </c>
      <c r="H97">
        <v>33.200000000000003</v>
      </c>
      <c r="I97" t="s">
        <v>43</v>
      </c>
    </row>
    <row r="98" spans="1:9" x14ac:dyDescent="0.75">
      <c r="A98" s="1">
        <v>45830</v>
      </c>
      <c r="B98" s="1" t="s">
        <v>31</v>
      </c>
      <c r="C98" t="s">
        <v>42</v>
      </c>
      <c r="D98">
        <f t="shared" si="0"/>
        <v>1.4500000000000001E-2</v>
      </c>
      <c r="E98">
        <v>16.7</v>
      </c>
      <c r="F98" s="2">
        <v>0.96666666666666701</v>
      </c>
      <c r="G98">
        <v>17.899999999999999</v>
      </c>
      <c r="H98">
        <v>33.299999999999997</v>
      </c>
      <c r="I98" t="s">
        <v>43</v>
      </c>
    </row>
    <row r="99" spans="1:9" x14ac:dyDescent="0.75">
      <c r="A99" s="1">
        <v>45830</v>
      </c>
      <c r="B99" s="1" t="s">
        <v>31</v>
      </c>
      <c r="C99" t="s">
        <v>42</v>
      </c>
      <c r="D99">
        <f t="shared" si="0"/>
        <v>1.4500000000000001E-2</v>
      </c>
      <c r="E99">
        <v>16.7</v>
      </c>
      <c r="F99" s="2">
        <v>0.96666666666666701</v>
      </c>
      <c r="G99">
        <v>17.899999999999999</v>
      </c>
      <c r="H99">
        <v>33.299999999999997</v>
      </c>
      <c r="I99" t="s">
        <v>43</v>
      </c>
    </row>
    <row r="100" spans="1:9" x14ac:dyDescent="0.75">
      <c r="A100" s="1">
        <v>45830</v>
      </c>
      <c r="B100" s="1" t="s">
        <v>31</v>
      </c>
      <c r="C100" t="s">
        <v>42</v>
      </c>
      <c r="D100">
        <f t="shared" si="0"/>
        <v>1.4500000000000001E-2</v>
      </c>
      <c r="E100">
        <v>16.7</v>
      </c>
      <c r="F100" s="2">
        <v>0.96666666666666701</v>
      </c>
      <c r="G100">
        <v>17.899999999999999</v>
      </c>
      <c r="H100">
        <v>33.4</v>
      </c>
      <c r="I100" t="s">
        <v>43</v>
      </c>
    </row>
    <row r="101" spans="1:9" x14ac:dyDescent="0.75">
      <c r="A101" s="1">
        <v>45830</v>
      </c>
      <c r="B101" s="1" t="s">
        <v>31</v>
      </c>
      <c r="C101" t="s">
        <v>42</v>
      </c>
      <c r="D101">
        <f t="shared" si="0"/>
        <v>1.4500000000000001E-2</v>
      </c>
      <c r="E101">
        <v>16.7</v>
      </c>
      <c r="F101" s="2">
        <v>0.96666666666666701</v>
      </c>
      <c r="G101">
        <v>17.899999999999999</v>
      </c>
      <c r="H101">
        <v>33.5</v>
      </c>
      <c r="I101" t="s">
        <v>43</v>
      </c>
    </row>
    <row r="102" spans="1:9" x14ac:dyDescent="0.75">
      <c r="A102" s="1">
        <v>45830</v>
      </c>
      <c r="B102" s="1" t="s">
        <v>31</v>
      </c>
      <c r="C102" t="s">
        <v>42</v>
      </c>
      <c r="D102">
        <f t="shared" si="0"/>
        <v>1.4500000000000001E-2</v>
      </c>
      <c r="E102">
        <v>16.7</v>
      </c>
      <c r="F102" s="2">
        <v>0.96666666666666701</v>
      </c>
      <c r="G102">
        <v>17.899999999999999</v>
      </c>
      <c r="H102">
        <v>33.700000000000003</v>
      </c>
      <c r="I102" t="s">
        <v>43</v>
      </c>
    </row>
    <row r="103" spans="1:9" x14ac:dyDescent="0.75">
      <c r="A103" s="1">
        <v>45830</v>
      </c>
      <c r="B103" s="1" t="s">
        <v>31</v>
      </c>
      <c r="C103" t="s">
        <v>42</v>
      </c>
      <c r="D103">
        <f t="shared" si="0"/>
        <v>1.4500000000000001E-2</v>
      </c>
      <c r="E103">
        <v>16.7</v>
      </c>
      <c r="F103" s="2">
        <v>0.96666666666666701</v>
      </c>
      <c r="G103">
        <v>17.899999999999999</v>
      </c>
      <c r="H103">
        <v>33.799999999999997</v>
      </c>
      <c r="I103" t="s">
        <v>43</v>
      </c>
    </row>
    <row r="104" spans="1:9" x14ac:dyDescent="0.75">
      <c r="A104" s="1">
        <v>45831</v>
      </c>
      <c r="B104" s="1" t="s">
        <v>32</v>
      </c>
      <c r="C104" t="s">
        <v>47</v>
      </c>
      <c r="D104">
        <v>0.3</v>
      </c>
      <c r="E104">
        <v>16.3</v>
      </c>
      <c r="F104" s="2">
        <v>0.76527777777777772</v>
      </c>
      <c r="G104">
        <v>17.7</v>
      </c>
      <c r="H104">
        <v>32</v>
      </c>
      <c r="I104" t="s">
        <v>43</v>
      </c>
    </row>
    <row r="105" spans="1:9" x14ac:dyDescent="0.75">
      <c r="A105" s="1">
        <v>45831</v>
      </c>
      <c r="B105" s="1" t="s">
        <v>32</v>
      </c>
      <c r="C105" t="s">
        <v>47</v>
      </c>
      <c r="D105">
        <v>0.3</v>
      </c>
      <c r="E105">
        <v>16.3</v>
      </c>
      <c r="F105" s="2">
        <v>0.76527777777777772</v>
      </c>
      <c r="G105">
        <v>17.7</v>
      </c>
      <c r="H105">
        <v>33.200000000000003</v>
      </c>
      <c r="I105" t="s">
        <v>43</v>
      </c>
    </row>
    <row r="106" spans="1:9" x14ac:dyDescent="0.75">
      <c r="A106" s="1">
        <v>45831</v>
      </c>
      <c r="B106" s="1" t="s">
        <v>32</v>
      </c>
      <c r="C106" t="s">
        <v>47</v>
      </c>
      <c r="D106">
        <v>0.3</v>
      </c>
      <c r="E106">
        <v>16.3</v>
      </c>
      <c r="F106" s="2">
        <v>0.76527777777777795</v>
      </c>
      <c r="G106">
        <v>17.7</v>
      </c>
      <c r="H106">
        <v>33.6</v>
      </c>
      <c r="I106" t="s">
        <v>43</v>
      </c>
    </row>
    <row r="107" spans="1:9" x14ac:dyDescent="0.75">
      <c r="A107" s="1">
        <v>45831</v>
      </c>
      <c r="B107" s="1" t="s">
        <v>32</v>
      </c>
      <c r="C107" t="s">
        <v>47</v>
      </c>
      <c r="D107">
        <v>0.3</v>
      </c>
      <c r="E107">
        <v>16.3</v>
      </c>
      <c r="F107" s="2">
        <v>0.76527777777777795</v>
      </c>
      <c r="G107">
        <v>17.7</v>
      </c>
      <c r="H107">
        <v>33.700000000000003</v>
      </c>
      <c r="I107" t="s">
        <v>43</v>
      </c>
    </row>
    <row r="108" spans="1:9" x14ac:dyDescent="0.75">
      <c r="A108" s="1">
        <v>45831</v>
      </c>
      <c r="B108" s="1" t="s">
        <v>32</v>
      </c>
      <c r="C108" t="s">
        <v>47</v>
      </c>
      <c r="D108">
        <v>0.3</v>
      </c>
      <c r="E108">
        <v>16.3</v>
      </c>
      <c r="F108" s="2">
        <v>0.76527777777777795</v>
      </c>
      <c r="G108">
        <v>17.7</v>
      </c>
      <c r="H108">
        <v>33.9</v>
      </c>
      <c r="I108" t="s">
        <v>43</v>
      </c>
    </row>
    <row r="109" spans="1:9" x14ac:dyDescent="0.75">
      <c r="A109" s="1">
        <v>45831</v>
      </c>
      <c r="B109" s="1" t="s">
        <v>32</v>
      </c>
      <c r="C109" t="s">
        <v>47</v>
      </c>
      <c r="D109">
        <v>0.3</v>
      </c>
      <c r="E109">
        <v>16.3</v>
      </c>
      <c r="F109" s="2">
        <v>0.76527777777777795</v>
      </c>
      <c r="G109">
        <v>17.7</v>
      </c>
      <c r="H109">
        <v>33.9</v>
      </c>
      <c r="I109" t="s">
        <v>43</v>
      </c>
    </row>
    <row r="110" spans="1:9" x14ac:dyDescent="0.75">
      <c r="A110" s="1">
        <v>45831</v>
      </c>
      <c r="B110" s="1" t="s">
        <v>32</v>
      </c>
      <c r="C110" t="s">
        <v>47</v>
      </c>
      <c r="D110">
        <v>0.3</v>
      </c>
      <c r="E110">
        <v>16.3</v>
      </c>
      <c r="F110" s="2">
        <v>0.76527777777777795</v>
      </c>
      <c r="G110">
        <v>17.7</v>
      </c>
      <c r="H110">
        <v>34</v>
      </c>
      <c r="I110" t="s">
        <v>43</v>
      </c>
    </row>
    <row r="111" spans="1:9" x14ac:dyDescent="0.75">
      <c r="A111" s="1">
        <v>45831</v>
      </c>
      <c r="B111" s="1" t="s">
        <v>32</v>
      </c>
      <c r="C111" t="s">
        <v>47</v>
      </c>
      <c r="D111">
        <v>0.3</v>
      </c>
      <c r="E111">
        <v>16.3</v>
      </c>
      <c r="F111" s="2">
        <v>0.76527777777777795</v>
      </c>
      <c r="G111">
        <v>17.7</v>
      </c>
      <c r="H111">
        <v>34</v>
      </c>
      <c r="I111" t="s">
        <v>43</v>
      </c>
    </row>
    <row r="112" spans="1:9" x14ac:dyDescent="0.75">
      <c r="A112" s="1">
        <v>45831</v>
      </c>
      <c r="B112" s="1" t="s">
        <v>32</v>
      </c>
      <c r="C112" t="s">
        <v>47</v>
      </c>
      <c r="D112">
        <v>0.3</v>
      </c>
      <c r="E112">
        <v>16.3</v>
      </c>
      <c r="F112" s="2">
        <v>0.76527777777777795</v>
      </c>
      <c r="G112">
        <v>17.7</v>
      </c>
      <c r="H112">
        <v>34</v>
      </c>
      <c r="I112" t="s">
        <v>43</v>
      </c>
    </row>
    <row r="113" spans="1:9" x14ac:dyDescent="0.75">
      <c r="A113" s="1">
        <v>45831</v>
      </c>
      <c r="B113" s="1" t="s">
        <v>32</v>
      </c>
      <c r="C113" t="s">
        <v>47</v>
      </c>
      <c r="D113">
        <v>0.3</v>
      </c>
      <c r="E113">
        <v>16.3</v>
      </c>
      <c r="F113" s="2">
        <v>0.76527777777777795</v>
      </c>
      <c r="G113">
        <v>17.7</v>
      </c>
      <c r="H113">
        <v>34.1</v>
      </c>
      <c r="I113" t="s">
        <v>43</v>
      </c>
    </row>
    <row r="114" spans="1:9" x14ac:dyDescent="0.75">
      <c r="A114" s="1">
        <v>45831</v>
      </c>
      <c r="B114" s="1" t="s">
        <v>32</v>
      </c>
      <c r="C114" t="s">
        <v>47</v>
      </c>
      <c r="D114">
        <v>0.3</v>
      </c>
      <c r="E114">
        <v>16.3</v>
      </c>
      <c r="F114" s="2">
        <v>0.76527777777777795</v>
      </c>
      <c r="G114">
        <v>17.7</v>
      </c>
      <c r="H114">
        <v>34.200000000000003</v>
      </c>
      <c r="I114" t="s">
        <v>43</v>
      </c>
    </row>
    <row r="115" spans="1:9" x14ac:dyDescent="0.75">
      <c r="A115" s="1">
        <v>45831</v>
      </c>
      <c r="B115" s="1" t="s">
        <v>32</v>
      </c>
      <c r="C115" t="s">
        <v>47</v>
      </c>
      <c r="D115">
        <v>0.3</v>
      </c>
      <c r="E115">
        <v>16.3</v>
      </c>
      <c r="F115" s="2">
        <v>0.76527777777777795</v>
      </c>
      <c r="G115">
        <v>17.7</v>
      </c>
      <c r="H115">
        <v>34.200000000000003</v>
      </c>
      <c r="I115" t="s">
        <v>43</v>
      </c>
    </row>
    <row r="116" spans="1:9" x14ac:dyDescent="0.75">
      <c r="A116" s="1">
        <v>45831</v>
      </c>
      <c r="B116" s="1" t="s">
        <v>32</v>
      </c>
      <c r="C116" t="s">
        <v>47</v>
      </c>
      <c r="D116">
        <v>0.3</v>
      </c>
      <c r="E116">
        <v>16.3</v>
      </c>
      <c r="F116" s="2">
        <v>0.76527777777777795</v>
      </c>
      <c r="G116">
        <v>17.7</v>
      </c>
      <c r="H116">
        <v>34.299999999999997</v>
      </c>
      <c r="I116" t="s">
        <v>48</v>
      </c>
    </row>
    <row r="117" spans="1:9" x14ac:dyDescent="0.75">
      <c r="A117" s="1">
        <v>45831</v>
      </c>
      <c r="B117" s="1" t="s">
        <v>32</v>
      </c>
      <c r="C117" t="s">
        <v>47</v>
      </c>
      <c r="D117">
        <v>0.3</v>
      </c>
      <c r="E117">
        <v>16.3</v>
      </c>
      <c r="F117" s="2">
        <v>0.76527777777777795</v>
      </c>
      <c r="G117">
        <v>17.7</v>
      </c>
      <c r="H117">
        <v>34.299999999999997</v>
      </c>
      <c r="I117" t="s">
        <v>48</v>
      </c>
    </row>
    <row r="118" spans="1:9" x14ac:dyDescent="0.75">
      <c r="A118" s="1">
        <v>45831</v>
      </c>
      <c r="B118" s="1" t="s">
        <v>32</v>
      </c>
      <c r="C118" t="s">
        <v>47</v>
      </c>
      <c r="D118">
        <v>0.3</v>
      </c>
      <c r="E118">
        <v>16.3</v>
      </c>
      <c r="F118" s="2">
        <v>0.76527777777777795</v>
      </c>
      <c r="G118">
        <v>17.7</v>
      </c>
      <c r="H118">
        <v>34.4</v>
      </c>
      <c r="I118" t="s">
        <v>48</v>
      </c>
    </row>
    <row r="119" spans="1:9" x14ac:dyDescent="0.75">
      <c r="A119" s="1">
        <v>45831</v>
      </c>
      <c r="B119" s="1" t="s">
        <v>32</v>
      </c>
      <c r="C119" t="s">
        <v>47</v>
      </c>
      <c r="D119">
        <v>0.3</v>
      </c>
      <c r="E119">
        <v>16.3</v>
      </c>
      <c r="F119" s="2">
        <v>0.76527777777777795</v>
      </c>
      <c r="G119">
        <v>17.7</v>
      </c>
      <c r="H119">
        <v>34.4</v>
      </c>
      <c r="I119" t="s">
        <v>48</v>
      </c>
    </row>
    <row r="120" spans="1:9" x14ac:dyDescent="0.75">
      <c r="A120" s="1">
        <v>45831</v>
      </c>
      <c r="B120" s="1" t="s">
        <v>32</v>
      </c>
      <c r="C120" t="s">
        <v>47</v>
      </c>
      <c r="D120">
        <v>0.3</v>
      </c>
      <c r="E120">
        <v>16.3</v>
      </c>
      <c r="F120" s="2">
        <v>0.76527777777777795</v>
      </c>
      <c r="G120">
        <v>17.7</v>
      </c>
      <c r="H120">
        <v>34.5</v>
      </c>
      <c r="I120" t="s">
        <v>43</v>
      </c>
    </row>
    <row r="121" spans="1:9" x14ac:dyDescent="0.75">
      <c r="A121" s="1">
        <v>45831</v>
      </c>
      <c r="B121" s="1" t="s">
        <v>32</v>
      </c>
      <c r="C121" t="s">
        <v>47</v>
      </c>
      <c r="D121">
        <v>0.3</v>
      </c>
      <c r="E121">
        <v>16.3</v>
      </c>
      <c r="F121" s="2">
        <v>0.76527777777777795</v>
      </c>
      <c r="G121">
        <v>17.7</v>
      </c>
      <c r="H121">
        <v>34.5</v>
      </c>
      <c r="I121" t="s">
        <v>43</v>
      </c>
    </row>
    <row r="122" spans="1:9" x14ac:dyDescent="0.75">
      <c r="A122" s="1">
        <v>45831</v>
      </c>
      <c r="B122" s="1" t="s">
        <v>32</v>
      </c>
      <c r="C122" t="s">
        <v>47</v>
      </c>
      <c r="D122">
        <v>0.3</v>
      </c>
      <c r="E122">
        <v>16.3</v>
      </c>
      <c r="F122" s="2">
        <v>0.76527777777777795</v>
      </c>
      <c r="G122">
        <v>17.7</v>
      </c>
      <c r="H122">
        <v>34.5</v>
      </c>
      <c r="I122" t="s">
        <v>43</v>
      </c>
    </row>
    <row r="123" spans="1:9" x14ac:dyDescent="0.75">
      <c r="A123" s="1">
        <v>45831</v>
      </c>
      <c r="B123" s="1" t="s">
        <v>33</v>
      </c>
      <c r="C123" t="s">
        <v>50</v>
      </c>
      <c r="D123">
        <v>0.5</v>
      </c>
      <c r="E123">
        <v>16.399999999999999</v>
      </c>
      <c r="F123" s="2">
        <v>0.82222222222222219</v>
      </c>
      <c r="G123">
        <v>17.600000000000001</v>
      </c>
      <c r="H123">
        <v>31.3</v>
      </c>
      <c r="I123" t="s">
        <v>43</v>
      </c>
    </row>
    <row r="124" spans="1:9" x14ac:dyDescent="0.75">
      <c r="A124" s="1">
        <v>45831</v>
      </c>
      <c r="B124" s="1" t="s">
        <v>33</v>
      </c>
      <c r="C124" t="s">
        <v>50</v>
      </c>
      <c r="D124">
        <v>0.5</v>
      </c>
      <c r="E124">
        <v>16.399999999999999</v>
      </c>
      <c r="F124" s="2">
        <v>0.82222222222222219</v>
      </c>
      <c r="G124">
        <v>17.600000000000001</v>
      </c>
      <c r="H124">
        <v>32</v>
      </c>
      <c r="I124" t="s">
        <v>43</v>
      </c>
    </row>
    <row r="125" spans="1:9" x14ac:dyDescent="0.75">
      <c r="A125" s="1">
        <v>45831</v>
      </c>
      <c r="B125" s="1" t="s">
        <v>33</v>
      </c>
      <c r="C125" t="s">
        <v>50</v>
      </c>
      <c r="D125">
        <v>0.5</v>
      </c>
      <c r="E125">
        <v>16.399999999999999</v>
      </c>
      <c r="F125" s="2">
        <v>0.82222222222222197</v>
      </c>
      <c r="G125">
        <v>17.600000000000001</v>
      </c>
      <c r="H125">
        <v>32</v>
      </c>
      <c r="I125" t="s">
        <v>43</v>
      </c>
    </row>
    <row r="126" spans="1:9" x14ac:dyDescent="0.75">
      <c r="A126" s="1">
        <v>45831</v>
      </c>
      <c r="B126" s="1" t="s">
        <v>33</v>
      </c>
      <c r="C126" t="s">
        <v>50</v>
      </c>
      <c r="D126">
        <v>0.5</v>
      </c>
      <c r="E126">
        <v>16.399999999999999</v>
      </c>
      <c r="F126" s="2">
        <v>0.82222222222222197</v>
      </c>
      <c r="G126">
        <v>17.600000000000001</v>
      </c>
      <c r="H126">
        <v>32.799999999999997</v>
      </c>
      <c r="I126" t="s">
        <v>43</v>
      </c>
    </row>
    <row r="127" spans="1:9" x14ac:dyDescent="0.75">
      <c r="A127" s="1">
        <v>45831</v>
      </c>
      <c r="B127" s="1" t="s">
        <v>33</v>
      </c>
      <c r="C127" t="s">
        <v>50</v>
      </c>
      <c r="D127">
        <v>0.5</v>
      </c>
      <c r="E127">
        <v>16.399999999999999</v>
      </c>
      <c r="F127" s="2">
        <v>0.82222222222222197</v>
      </c>
      <c r="G127">
        <v>17.600000000000001</v>
      </c>
      <c r="H127">
        <v>32.799999999999997</v>
      </c>
      <c r="I127" t="s">
        <v>43</v>
      </c>
    </row>
    <row r="128" spans="1:9" x14ac:dyDescent="0.75">
      <c r="A128" s="1">
        <v>45831</v>
      </c>
      <c r="B128" s="1" t="s">
        <v>33</v>
      </c>
      <c r="C128" t="s">
        <v>50</v>
      </c>
      <c r="D128">
        <v>0.5</v>
      </c>
      <c r="E128">
        <v>16.399999999999999</v>
      </c>
      <c r="F128" s="2">
        <v>0.82222222222222197</v>
      </c>
      <c r="G128">
        <v>17.600000000000001</v>
      </c>
      <c r="H128">
        <v>32.799999999999997</v>
      </c>
      <c r="I128" t="s">
        <v>43</v>
      </c>
    </row>
    <row r="129" spans="1:9" x14ac:dyDescent="0.75">
      <c r="A129" s="1">
        <v>45831</v>
      </c>
      <c r="B129" s="1" t="s">
        <v>33</v>
      </c>
      <c r="C129" t="s">
        <v>50</v>
      </c>
      <c r="D129">
        <v>0.5</v>
      </c>
      <c r="E129">
        <v>16.399999999999999</v>
      </c>
      <c r="F129" s="2">
        <v>0.82222222222222197</v>
      </c>
      <c r="G129">
        <v>17.600000000000001</v>
      </c>
      <c r="H129">
        <v>32.9</v>
      </c>
      <c r="I129" t="s">
        <v>43</v>
      </c>
    </row>
    <row r="130" spans="1:9" x14ac:dyDescent="0.75">
      <c r="A130" s="1">
        <v>45831</v>
      </c>
      <c r="B130" s="1" t="s">
        <v>33</v>
      </c>
      <c r="C130" t="s">
        <v>50</v>
      </c>
      <c r="D130">
        <v>0.5</v>
      </c>
      <c r="E130">
        <v>16.399999999999999</v>
      </c>
      <c r="F130" s="2">
        <v>0.82222222222222197</v>
      </c>
      <c r="G130">
        <v>17.600000000000001</v>
      </c>
      <c r="H130">
        <v>33.1</v>
      </c>
      <c r="I130" t="s">
        <v>43</v>
      </c>
    </row>
    <row r="131" spans="1:9" x14ac:dyDescent="0.75">
      <c r="A131" s="1">
        <v>45831</v>
      </c>
      <c r="B131" s="1" t="s">
        <v>33</v>
      </c>
      <c r="C131" t="s">
        <v>50</v>
      </c>
      <c r="D131">
        <v>0.5</v>
      </c>
      <c r="E131">
        <v>16.399999999999999</v>
      </c>
      <c r="F131" s="2">
        <v>0.82222222222222197</v>
      </c>
      <c r="G131">
        <v>17.600000000000001</v>
      </c>
      <c r="H131">
        <v>33.299999999999997</v>
      </c>
      <c r="I131" t="s">
        <v>43</v>
      </c>
    </row>
    <row r="132" spans="1:9" x14ac:dyDescent="0.75">
      <c r="A132" s="1">
        <v>45831</v>
      </c>
      <c r="B132" s="1" t="s">
        <v>33</v>
      </c>
      <c r="C132" t="s">
        <v>50</v>
      </c>
      <c r="D132">
        <v>0.5</v>
      </c>
      <c r="E132">
        <v>16.399999999999999</v>
      </c>
      <c r="F132" s="2">
        <v>0.82222222222222197</v>
      </c>
      <c r="G132">
        <v>17.600000000000001</v>
      </c>
      <c r="H132">
        <v>33.299999999999997</v>
      </c>
      <c r="I132" t="s">
        <v>43</v>
      </c>
    </row>
    <row r="133" spans="1:9" x14ac:dyDescent="0.75">
      <c r="A133" s="1">
        <v>45831</v>
      </c>
      <c r="B133" s="1" t="s">
        <v>33</v>
      </c>
      <c r="C133" t="s">
        <v>50</v>
      </c>
      <c r="D133">
        <v>0.5</v>
      </c>
      <c r="E133">
        <v>16.399999999999999</v>
      </c>
      <c r="F133" s="2">
        <v>0.82222222222222197</v>
      </c>
      <c r="G133">
        <v>17.600000000000001</v>
      </c>
      <c r="H133">
        <v>33.5</v>
      </c>
      <c r="I133" t="s">
        <v>43</v>
      </c>
    </row>
    <row r="134" spans="1:9" x14ac:dyDescent="0.75">
      <c r="A134" s="1">
        <v>45831</v>
      </c>
      <c r="B134" s="1" t="s">
        <v>33</v>
      </c>
      <c r="C134" t="s">
        <v>50</v>
      </c>
      <c r="D134">
        <v>0.5</v>
      </c>
      <c r="E134">
        <v>16.399999999999999</v>
      </c>
      <c r="F134" s="2">
        <v>0.82222222222222197</v>
      </c>
      <c r="G134">
        <v>17.600000000000001</v>
      </c>
      <c r="H134">
        <v>33.700000000000003</v>
      </c>
      <c r="I134" t="s">
        <v>43</v>
      </c>
    </row>
    <row r="135" spans="1:9" x14ac:dyDescent="0.75">
      <c r="A135" s="1">
        <v>45831</v>
      </c>
      <c r="B135" s="1" t="s">
        <v>33</v>
      </c>
      <c r="C135" t="s">
        <v>50</v>
      </c>
      <c r="D135">
        <v>0.5</v>
      </c>
      <c r="E135">
        <v>16.399999999999999</v>
      </c>
      <c r="F135" s="2">
        <v>0.82222222222222197</v>
      </c>
      <c r="G135">
        <v>17.600000000000001</v>
      </c>
      <c r="H135">
        <v>33.700000000000003</v>
      </c>
      <c r="I135" t="s">
        <v>43</v>
      </c>
    </row>
    <row r="136" spans="1:9" x14ac:dyDescent="0.75">
      <c r="A136" s="1">
        <v>45831</v>
      </c>
      <c r="B136" s="1" t="s">
        <v>33</v>
      </c>
      <c r="C136" t="s">
        <v>50</v>
      </c>
      <c r="D136">
        <v>0.5</v>
      </c>
      <c r="E136">
        <v>16.399999999999999</v>
      </c>
      <c r="F136" s="2">
        <v>0.82222222222222197</v>
      </c>
      <c r="G136">
        <v>17.600000000000001</v>
      </c>
      <c r="H136">
        <v>34</v>
      </c>
      <c r="I136" t="s">
        <v>43</v>
      </c>
    </row>
    <row r="137" spans="1:9" x14ac:dyDescent="0.75">
      <c r="A137" s="1">
        <v>45831</v>
      </c>
      <c r="B137" s="1" t="s">
        <v>33</v>
      </c>
      <c r="C137" t="s">
        <v>50</v>
      </c>
      <c r="D137">
        <v>0.5</v>
      </c>
      <c r="E137">
        <v>16.399999999999999</v>
      </c>
      <c r="F137" s="2">
        <v>0.82222222222222197</v>
      </c>
      <c r="G137">
        <v>17.600000000000001</v>
      </c>
      <c r="H137">
        <v>34</v>
      </c>
      <c r="I137" t="s">
        <v>43</v>
      </c>
    </row>
    <row r="138" spans="1:9" x14ac:dyDescent="0.75">
      <c r="A138" s="1">
        <v>45831</v>
      </c>
      <c r="B138" s="1" t="s">
        <v>33</v>
      </c>
      <c r="C138" t="s">
        <v>50</v>
      </c>
      <c r="D138">
        <v>0.5</v>
      </c>
      <c r="E138">
        <v>16.399999999999999</v>
      </c>
      <c r="F138" s="2">
        <v>0.82222222222222197</v>
      </c>
      <c r="G138">
        <v>17.600000000000001</v>
      </c>
      <c r="H138">
        <v>34.1</v>
      </c>
      <c r="I138" t="s">
        <v>43</v>
      </c>
    </row>
    <row r="139" spans="1:9" x14ac:dyDescent="0.75">
      <c r="A139" s="1">
        <v>45831</v>
      </c>
      <c r="B139" s="1" t="s">
        <v>33</v>
      </c>
      <c r="C139" t="s">
        <v>50</v>
      </c>
      <c r="D139">
        <v>0.5</v>
      </c>
      <c r="E139">
        <v>16.399999999999999</v>
      </c>
      <c r="F139" s="2">
        <v>0.82222222222222197</v>
      </c>
      <c r="G139">
        <v>17.600000000000001</v>
      </c>
      <c r="H139">
        <v>34.1</v>
      </c>
      <c r="I139" t="s">
        <v>43</v>
      </c>
    </row>
    <row r="140" spans="1:9" x14ac:dyDescent="0.75">
      <c r="A140" s="1">
        <v>45831</v>
      </c>
      <c r="B140" s="1" t="s">
        <v>33</v>
      </c>
      <c r="C140" t="s">
        <v>50</v>
      </c>
      <c r="D140">
        <v>0.5</v>
      </c>
      <c r="E140">
        <v>16.399999999999999</v>
      </c>
      <c r="F140" s="2">
        <v>0.82222222222222197</v>
      </c>
      <c r="G140">
        <v>17.600000000000001</v>
      </c>
      <c r="H140">
        <v>34.299999999999997</v>
      </c>
      <c r="I140" t="s">
        <v>43</v>
      </c>
    </row>
    <row r="141" spans="1:9" x14ac:dyDescent="0.75">
      <c r="A141" s="1">
        <v>45832</v>
      </c>
      <c r="B141" s="1" t="s">
        <v>55</v>
      </c>
      <c r="C141" t="s">
        <v>47</v>
      </c>
      <c r="D141">
        <f>1/60</f>
        <v>1.6666666666666666E-2</v>
      </c>
      <c r="E141">
        <v>16.3</v>
      </c>
      <c r="F141" s="2">
        <v>0.89652777777777781</v>
      </c>
      <c r="G141">
        <v>17.3</v>
      </c>
      <c r="H141">
        <v>29.3</v>
      </c>
      <c r="I141" t="s">
        <v>111</v>
      </c>
    </row>
    <row r="142" spans="1:9" x14ac:dyDescent="0.75">
      <c r="A142" s="1">
        <v>45832</v>
      </c>
      <c r="B142" s="1" t="s">
        <v>55</v>
      </c>
      <c r="C142" t="s">
        <v>47</v>
      </c>
      <c r="D142">
        <f>1/60</f>
        <v>1.6666666666666666E-2</v>
      </c>
      <c r="E142">
        <v>16.3</v>
      </c>
      <c r="F142" s="2">
        <v>0.89652777777777781</v>
      </c>
      <c r="G142">
        <v>17.3</v>
      </c>
      <c r="H142">
        <v>29.9</v>
      </c>
      <c r="I142" t="s">
        <v>111</v>
      </c>
    </row>
    <row r="143" spans="1:9" x14ac:dyDescent="0.75">
      <c r="A143" s="1">
        <v>45832</v>
      </c>
      <c r="B143" s="1" t="s">
        <v>55</v>
      </c>
      <c r="C143" t="s">
        <v>47</v>
      </c>
      <c r="D143">
        <f t="shared" ref="D143:D171" si="1">1/60</f>
        <v>1.6666666666666666E-2</v>
      </c>
      <c r="E143">
        <v>16.3</v>
      </c>
      <c r="F143" s="2">
        <v>0.89652777777777803</v>
      </c>
      <c r="G143">
        <v>17.3</v>
      </c>
      <c r="H143">
        <v>30.9</v>
      </c>
      <c r="I143" t="s">
        <v>111</v>
      </c>
    </row>
    <row r="144" spans="1:9" x14ac:dyDescent="0.75">
      <c r="A144" s="1">
        <v>45832</v>
      </c>
      <c r="B144" s="1" t="s">
        <v>55</v>
      </c>
      <c r="C144" t="s">
        <v>47</v>
      </c>
      <c r="D144">
        <f t="shared" si="1"/>
        <v>1.6666666666666666E-2</v>
      </c>
      <c r="E144">
        <v>16.3</v>
      </c>
      <c r="F144" s="2">
        <v>0.89652777777777803</v>
      </c>
      <c r="G144">
        <v>17.3</v>
      </c>
      <c r="H144">
        <v>31</v>
      </c>
      <c r="I144" t="s">
        <v>111</v>
      </c>
    </row>
    <row r="145" spans="1:9" x14ac:dyDescent="0.75">
      <c r="A145" s="1">
        <v>45832</v>
      </c>
      <c r="B145" s="1" t="s">
        <v>55</v>
      </c>
      <c r="C145" t="s">
        <v>47</v>
      </c>
      <c r="D145">
        <f t="shared" si="1"/>
        <v>1.6666666666666666E-2</v>
      </c>
      <c r="E145">
        <v>16.3</v>
      </c>
      <c r="F145" s="2">
        <v>0.89652777777777803</v>
      </c>
      <c r="G145">
        <v>17.3</v>
      </c>
      <c r="H145">
        <v>31.3</v>
      </c>
      <c r="I145" t="s">
        <v>111</v>
      </c>
    </row>
    <row r="146" spans="1:9" x14ac:dyDescent="0.75">
      <c r="A146" s="1">
        <v>45832</v>
      </c>
      <c r="B146" s="1" t="s">
        <v>55</v>
      </c>
      <c r="C146" t="s">
        <v>47</v>
      </c>
      <c r="D146">
        <f t="shared" si="1"/>
        <v>1.6666666666666666E-2</v>
      </c>
      <c r="E146">
        <v>16.3</v>
      </c>
      <c r="F146" s="2">
        <v>0.89652777777777803</v>
      </c>
      <c r="G146">
        <v>17.3</v>
      </c>
      <c r="H146">
        <v>31.4</v>
      </c>
      <c r="I146" t="s">
        <v>111</v>
      </c>
    </row>
    <row r="147" spans="1:9" x14ac:dyDescent="0.75">
      <c r="A147" s="1">
        <v>45832</v>
      </c>
      <c r="B147" s="1" t="s">
        <v>55</v>
      </c>
      <c r="C147" t="s">
        <v>47</v>
      </c>
      <c r="D147">
        <f t="shared" si="1"/>
        <v>1.6666666666666666E-2</v>
      </c>
      <c r="E147">
        <v>16.3</v>
      </c>
      <c r="F147" s="2">
        <v>0.89652777777777803</v>
      </c>
      <c r="G147">
        <v>17.3</v>
      </c>
      <c r="H147">
        <v>31.6</v>
      </c>
      <c r="I147" t="s">
        <v>111</v>
      </c>
    </row>
    <row r="148" spans="1:9" x14ac:dyDescent="0.75">
      <c r="A148" s="1">
        <v>45832</v>
      </c>
      <c r="B148" s="1" t="s">
        <v>55</v>
      </c>
      <c r="C148" t="s">
        <v>47</v>
      </c>
      <c r="D148">
        <f t="shared" si="1"/>
        <v>1.6666666666666666E-2</v>
      </c>
      <c r="E148">
        <v>16.3</v>
      </c>
      <c r="F148" s="2">
        <v>0.89652777777777803</v>
      </c>
      <c r="G148">
        <v>17.3</v>
      </c>
      <c r="H148">
        <v>31.6</v>
      </c>
      <c r="I148" t="s">
        <v>111</v>
      </c>
    </row>
    <row r="149" spans="1:9" x14ac:dyDescent="0.75">
      <c r="A149" s="1">
        <v>45832</v>
      </c>
      <c r="B149" s="1" t="s">
        <v>55</v>
      </c>
      <c r="C149" t="s">
        <v>47</v>
      </c>
      <c r="D149">
        <f t="shared" si="1"/>
        <v>1.6666666666666666E-2</v>
      </c>
      <c r="E149">
        <v>16.3</v>
      </c>
      <c r="F149" s="2">
        <v>0.89652777777777803</v>
      </c>
      <c r="G149">
        <v>17.3</v>
      </c>
      <c r="H149">
        <v>32.1</v>
      </c>
      <c r="I149" t="s">
        <v>111</v>
      </c>
    </row>
    <row r="150" spans="1:9" x14ac:dyDescent="0.75">
      <c r="A150" s="1">
        <v>45832</v>
      </c>
      <c r="B150" s="1" t="s">
        <v>55</v>
      </c>
      <c r="C150" t="s">
        <v>47</v>
      </c>
      <c r="D150">
        <f t="shared" si="1"/>
        <v>1.6666666666666666E-2</v>
      </c>
      <c r="E150">
        <v>16.3</v>
      </c>
      <c r="F150" s="2">
        <v>0.89652777777777803</v>
      </c>
      <c r="G150">
        <v>17.3</v>
      </c>
      <c r="H150">
        <v>32.5</v>
      </c>
      <c r="I150" t="s">
        <v>111</v>
      </c>
    </row>
    <row r="151" spans="1:9" x14ac:dyDescent="0.75">
      <c r="A151" s="1">
        <v>45832</v>
      </c>
      <c r="B151" s="1" t="s">
        <v>55</v>
      </c>
      <c r="C151" t="s">
        <v>47</v>
      </c>
      <c r="D151">
        <f t="shared" si="1"/>
        <v>1.6666666666666666E-2</v>
      </c>
      <c r="E151">
        <v>16.3</v>
      </c>
      <c r="F151" s="2">
        <v>0.89652777777777803</v>
      </c>
      <c r="G151">
        <v>17.3</v>
      </c>
      <c r="H151">
        <v>32.799999999999997</v>
      </c>
      <c r="I151" t="s">
        <v>111</v>
      </c>
    </row>
    <row r="152" spans="1:9" x14ac:dyDescent="0.75">
      <c r="A152" s="1">
        <v>45832</v>
      </c>
      <c r="B152" s="1" t="s">
        <v>55</v>
      </c>
      <c r="C152" t="s">
        <v>47</v>
      </c>
      <c r="D152">
        <f t="shared" si="1"/>
        <v>1.6666666666666666E-2</v>
      </c>
      <c r="E152">
        <v>16.3</v>
      </c>
      <c r="F152" s="2">
        <v>0.89652777777777803</v>
      </c>
      <c r="G152">
        <v>17.3</v>
      </c>
      <c r="H152">
        <v>32.9</v>
      </c>
      <c r="I152" t="s">
        <v>111</v>
      </c>
    </row>
    <row r="153" spans="1:9" x14ac:dyDescent="0.75">
      <c r="A153" s="1">
        <v>45832</v>
      </c>
      <c r="B153" s="1" t="s">
        <v>55</v>
      </c>
      <c r="C153" t="s">
        <v>47</v>
      </c>
      <c r="D153">
        <f t="shared" si="1"/>
        <v>1.6666666666666666E-2</v>
      </c>
      <c r="E153">
        <v>16.3</v>
      </c>
      <c r="F153" s="2">
        <v>0.89652777777777803</v>
      </c>
      <c r="G153">
        <v>17.3</v>
      </c>
      <c r="H153">
        <v>33.4</v>
      </c>
      <c r="I153" t="s">
        <v>111</v>
      </c>
    </row>
    <row r="154" spans="1:9" x14ac:dyDescent="0.75">
      <c r="A154" s="1">
        <v>45832</v>
      </c>
      <c r="B154" s="1" t="s">
        <v>56</v>
      </c>
      <c r="C154" t="s">
        <v>47</v>
      </c>
      <c r="D154">
        <f t="shared" si="1"/>
        <v>1.6666666666666666E-2</v>
      </c>
      <c r="E154">
        <v>16.3</v>
      </c>
      <c r="F154" s="2">
        <v>0.89652777777777803</v>
      </c>
      <c r="G154">
        <v>17.3</v>
      </c>
      <c r="H154">
        <v>30.5</v>
      </c>
      <c r="I154" t="s">
        <v>43</v>
      </c>
    </row>
    <row r="155" spans="1:9" x14ac:dyDescent="0.75">
      <c r="A155" s="1">
        <v>45832</v>
      </c>
      <c r="B155" s="1" t="s">
        <v>56</v>
      </c>
      <c r="C155" t="s">
        <v>47</v>
      </c>
      <c r="D155">
        <f t="shared" si="1"/>
        <v>1.6666666666666666E-2</v>
      </c>
      <c r="E155">
        <v>16.3</v>
      </c>
      <c r="F155" s="2">
        <v>0.89652777777777803</v>
      </c>
      <c r="G155">
        <v>17.3</v>
      </c>
      <c r="H155">
        <v>31.2</v>
      </c>
      <c r="I155" t="s">
        <v>43</v>
      </c>
    </row>
    <row r="156" spans="1:9" x14ac:dyDescent="0.75">
      <c r="A156" s="1">
        <v>45832</v>
      </c>
      <c r="B156" s="1" t="s">
        <v>56</v>
      </c>
      <c r="C156" t="s">
        <v>47</v>
      </c>
      <c r="D156">
        <f t="shared" si="1"/>
        <v>1.6666666666666666E-2</v>
      </c>
      <c r="E156">
        <v>16.3</v>
      </c>
      <c r="F156" s="2">
        <v>0.89652777777777803</v>
      </c>
      <c r="G156">
        <v>17.3</v>
      </c>
      <c r="H156">
        <v>31.4</v>
      </c>
      <c r="I156" t="s">
        <v>43</v>
      </c>
    </row>
    <row r="157" spans="1:9" x14ac:dyDescent="0.75">
      <c r="A157" s="1">
        <v>45832</v>
      </c>
      <c r="B157" s="1" t="s">
        <v>56</v>
      </c>
      <c r="C157" t="s">
        <v>47</v>
      </c>
      <c r="D157">
        <f t="shared" si="1"/>
        <v>1.6666666666666666E-2</v>
      </c>
      <c r="E157">
        <v>16.3</v>
      </c>
      <c r="F157" s="2">
        <v>0.89652777777777803</v>
      </c>
      <c r="G157">
        <v>17.3</v>
      </c>
      <c r="H157">
        <v>31.6</v>
      </c>
      <c r="I157" t="s">
        <v>43</v>
      </c>
    </row>
    <row r="158" spans="1:9" x14ac:dyDescent="0.75">
      <c r="A158" s="1">
        <v>45832</v>
      </c>
      <c r="B158" s="1" t="s">
        <v>56</v>
      </c>
      <c r="C158" t="s">
        <v>47</v>
      </c>
      <c r="D158">
        <f t="shared" si="1"/>
        <v>1.6666666666666666E-2</v>
      </c>
      <c r="E158">
        <v>16.3</v>
      </c>
      <c r="F158" s="2">
        <v>0.89652777777777803</v>
      </c>
      <c r="G158">
        <v>17.3</v>
      </c>
      <c r="H158">
        <v>31.7</v>
      </c>
      <c r="I158" t="s">
        <v>43</v>
      </c>
    </row>
    <row r="159" spans="1:9" x14ac:dyDescent="0.75">
      <c r="A159" s="1">
        <v>45832</v>
      </c>
      <c r="B159" s="1" t="s">
        <v>56</v>
      </c>
      <c r="C159" t="s">
        <v>47</v>
      </c>
      <c r="D159">
        <f t="shared" si="1"/>
        <v>1.6666666666666666E-2</v>
      </c>
      <c r="E159">
        <v>16.3</v>
      </c>
      <c r="F159" s="2">
        <v>0.89652777777777803</v>
      </c>
      <c r="G159">
        <v>17.3</v>
      </c>
      <c r="H159">
        <v>32.1</v>
      </c>
      <c r="I159" t="s">
        <v>43</v>
      </c>
    </row>
    <row r="160" spans="1:9" x14ac:dyDescent="0.75">
      <c r="A160" s="1">
        <v>45832</v>
      </c>
      <c r="B160" s="1" t="s">
        <v>56</v>
      </c>
      <c r="C160" t="s">
        <v>47</v>
      </c>
      <c r="D160">
        <f t="shared" si="1"/>
        <v>1.6666666666666666E-2</v>
      </c>
      <c r="E160">
        <v>16.3</v>
      </c>
      <c r="F160" s="2">
        <v>0.89652777777777803</v>
      </c>
      <c r="G160">
        <v>17.3</v>
      </c>
      <c r="H160">
        <v>32.200000000000003</v>
      </c>
      <c r="I160" t="s">
        <v>43</v>
      </c>
    </row>
    <row r="161" spans="1:9" x14ac:dyDescent="0.75">
      <c r="A161" s="1">
        <v>45832</v>
      </c>
      <c r="B161" s="1" t="s">
        <v>56</v>
      </c>
      <c r="C161" t="s">
        <v>47</v>
      </c>
      <c r="D161">
        <f t="shared" si="1"/>
        <v>1.6666666666666666E-2</v>
      </c>
      <c r="E161">
        <v>16.3</v>
      </c>
      <c r="F161" s="2">
        <v>0.89652777777777803</v>
      </c>
      <c r="G161">
        <v>17.3</v>
      </c>
      <c r="H161">
        <v>32.299999999999997</v>
      </c>
      <c r="I161" t="s">
        <v>43</v>
      </c>
    </row>
    <row r="162" spans="1:9" x14ac:dyDescent="0.75">
      <c r="A162" s="1">
        <v>45832</v>
      </c>
      <c r="B162" s="1" t="s">
        <v>56</v>
      </c>
      <c r="C162" t="s">
        <v>47</v>
      </c>
      <c r="D162">
        <f t="shared" si="1"/>
        <v>1.6666666666666666E-2</v>
      </c>
      <c r="E162">
        <v>16.3</v>
      </c>
      <c r="F162" s="2">
        <v>0.89652777777777803</v>
      </c>
      <c r="G162">
        <v>17.3</v>
      </c>
      <c r="H162">
        <v>32.4</v>
      </c>
      <c r="I162" t="s">
        <v>43</v>
      </c>
    </row>
    <row r="163" spans="1:9" x14ac:dyDescent="0.75">
      <c r="A163" s="1">
        <v>45832</v>
      </c>
      <c r="B163" s="1" t="s">
        <v>56</v>
      </c>
      <c r="C163" t="s">
        <v>47</v>
      </c>
      <c r="D163">
        <f t="shared" si="1"/>
        <v>1.6666666666666666E-2</v>
      </c>
      <c r="E163">
        <v>16.3</v>
      </c>
      <c r="F163" s="2">
        <v>0.89652777777777803</v>
      </c>
      <c r="G163">
        <v>17.3</v>
      </c>
      <c r="H163">
        <v>32.6</v>
      </c>
      <c r="I163" t="s">
        <v>43</v>
      </c>
    </row>
    <row r="164" spans="1:9" x14ac:dyDescent="0.75">
      <c r="A164" s="1">
        <v>45832</v>
      </c>
      <c r="B164" s="1" t="s">
        <v>56</v>
      </c>
      <c r="C164" t="s">
        <v>47</v>
      </c>
      <c r="D164">
        <f t="shared" si="1"/>
        <v>1.6666666666666666E-2</v>
      </c>
      <c r="E164">
        <v>16.3</v>
      </c>
      <c r="F164" s="2">
        <v>0.89652777777777803</v>
      </c>
      <c r="G164">
        <v>17.3</v>
      </c>
      <c r="H164">
        <v>32.700000000000003</v>
      </c>
      <c r="I164" t="s">
        <v>43</v>
      </c>
    </row>
    <row r="165" spans="1:9" x14ac:dyDescent="0.75">
      <c r="A165" s="1">
        <v>45832</v>
      </c>
      <c r="B165" s="1" t="s">
        <v>56</v>
      </c>
      <c r="C165" t="s">
        <v>47</v>
      </c>
      <c r="D165">
        <f t="shared" si="1"/>
        <v>1.6666666666666666E-2</v>
      </c>
      <c r="E165">
        <v>16.3</v>
      </c>
      <c r="F165" s="2">
        <v>0.89652777777777803</v>
      </c>
      <c r="G165">
        <v>17.3</v>
      </c>
      <c r="H165">
        <v>32.799999999999997</v>
      </c>
      <c r="I165" t="s">
        <v>43</v>
      </c>
    </row>
    <row r="166" spans="1:9" x14ac:dyDescent="0.75">
      <c r="A166" s="1">
        <v>45832</v>
      </c>
      <c r="B166" s="1" t="s">
        <v>56</v>
      </c>
      <c r="C166" t="s">
        <v>47</v>
      </c>
      <c r="D166">
        <f t="shared" si="1"/>
        <v>1.6666666666666666E-2</v>
      </c>
      <c r="E166">
        <v>16.3</v>
      </c>
      <c r="F166" s="2">
        <v>0.89652777777777803</v>
      </c>
      <c r="G166">
        <v>17.3</v>
      </c>
      <c r="H166">
        <v>32.799999999999997</v>
      </c>
      <c r="I166" t="s">
        <v>43</v>
      </c>
    </row>
    <row r="167" spans="1:9" x14ac:dyDescent="0.75">
      <c r="A167" s="1">
        <v>45832</v>
      </c>
      <c r="B167" s="1" t="s">
        <v>56</v>
      </c>
      <c r="C167" t="s">
        <v>47</v>
      </c>
      <c r="D167">
        <f t="shared" si="1"/>
        <v>1.6666666666666666E-2</v>
      </c>
      <c r="E167">
        <v>16.3</v>
      </c>
      <c r="F167" s="2">
        <v>0.89652777777777803</v>
      </c>
      <c r="G167">
        <v>17.3</v>
      </c>
      <c r="H167">
        <v>33.1</v>
      </c>
      <c r="I167" t="s">
        <v>43</v>
      </c>
    </row>
    <row r="168" spans="1:9" x14ac:dyDescent="0.75">
      <c r="A168" s="1">
        <v>45832</v>
      </c>
      <c r="B168" s="1" t="s">
        <v>56</v>
      </c>
      <c r="C168" t="s">
        <v>47</v>
      </c>
      <c r="D168">
        <f t="shared" si="1"/>
        <v>1.6666666666666666E-2</v>
      </c>
      <c r="E168">
        <v>16.3</v>
      </c>
      <c r="F168" s="2">
        <v>0.89652777777777803</v>
      </c>
      <c r="G168">
        <v>17.3</v>
      </c>
      <c r="H168">
        <v>33.299999999999997</v>
      </c>
      <c r="I168" t="s">
        <v>43</v>
      </c>
    </row>
    <row r="169" spans="1:9" x14ac:dyDescent="0.75">
      <c r="A169" s="1">
        <v>45832</v>
      </c>
      <c r="B169" s="1" t="s">
        <v>56</v>
      </c>
      <c r="C169" t="s">
        <v>47</v>
      </c>
      <c r="D169">
        <f t="shared" si="1"/>
        <v>1.6666666666666666E-2</v>
      </c>
      <c r="E169">
        <v>16.3</v>
      </c>
      <c r="F169" s="2">
        <v>0.89652777777777803</v>
      </c>
      <c r="G169">
        <v>17.3</v>
      </c>
      <c r="H169">
        <v>33.4</v>
      </c>
      <c r="I169" t="s">
        <v>43</v>
      </c>
    </row>
    <row r="170" spans="1:9" x14ac:dyDescent="0.75">
      <c r="A170" s="1">
        <v>45832</v>
      </c>
      <c r="B170" s="1" t="s">
        <v>56</v>
      </c>
      <c r="C170" t="s">
        <v>47</v>
      </c>
      <c r="D170">
        <f t="shared" si="1"/>
        <v>1.6666666666666666E-2</v>
      </c>
      <c r="E170">
        <v>16.3</v>
      </c>
      <c r="F170" s="2">
        <v>0.89652777777777803</v>
      </c>
      <c r="G170">
        <v>17.3</v>
      </c>
      <c r="H170">
        <v>33.6</v>
      </c>
      <c r="I170" t="s">
        <v>43</v>
      </c>
    </row>
    <row r="171" spans="1:9" x14ac:dyDescent="0.75">
      <c r="A171" s="1">
        <v>45832</v>
      </c>
      <c r="B171" s="1" t="s">
        <v>56</v>
      </c>
      <c r="C171" t="s">
        <v>47</v>
      </c>
      <c r="D171">
        <f t="shared" si="1"/>
        <v>1.6666666666666666E-2</v>
      </c>
      <c r="E171">
        <v>16.3</v>
      </c>
      <c r="F171" s="2">
        <v>0.89652777777777803</v>
      </c>
      <c r="G171">
        <v>17.3</v>
      </c>
      <c r="H171">
        <v>33.700000000000003</v>
      </c>
      <c r="I171" t="s">
        <v>43</v>
      </c>
    </row>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8E242-AB35-4BEF-AA1B-1B1A9CEEA678}">
  <dimension ref="A1:I84"/>
  <sheetViews>
    <sheetView workbookViewId="0">
      <selection activeCell="I10" sqref="I10"/>
    </sheetView>
  </sheetViews>
  <sheetFormatPr defaultRowHeight="14.75" x14ac:dyDescent="0.75"/>
  <cols>
    <col min="1" max="1" width="10.1796875" bestFit="1" customWidth="1"/>
    <col min="5" max="5" width="12.36328125" bestFit="1" customWidth="1"/>
    <col min="6" max="6" width="19.36328125" bestFit="1" customWidth="1"/>
    <col min="8" max="8" width="22.7265625" bestFit="1" customWidth="1"/>
    <col min="9" max="9" width="22.7265625" customWidth="1"/>
    <col min="10" max="10" width="11.81640625" bestFit="1" customWidth="1"/>
  </cols>
  <sheetData>
    <row r="1" spans="1:9" s="3" customFormat="1" x14ac:dyDescent="0.75">
      <c r="A1" s="3" t="s">
        <v>25</v>
      </c>
      <c r="B1" s="3" t="s">
        <v>41</v>
      </c>
      <c r="C1" s="3" t="s">
        <v>34</v>
      </c>
      <c r="D1" s="3" t="s">
        <v>7</v>
      </c>
      <c r="E1" s="3" t="s">
        <v>23</v>
      </c>
      <c r="F1" s="3" t="s">
        <v>92</v>
      </c>
      <c r="G1" s="3" t="s">
        <v>93</v>
      </c>
      <c r="H1" s="3" t="s">
        <v>94</v>
      </c>
      <c r="I1" s="3" t="s">
        <v>95</v>
      </c>
    </row>
    <row r="2" spans="1:9" x14ac:dyDescent="0.75">
      <c r="A2" t="s">
        <v>26</v>
      </c>
      <c r="B2">
        <v>0</v>
      </c>
      <c r="C2">
        <v>17.600000000000001</v>
      </c>
      <c r="E2">
        <f>(C3-C2)/(B3-B2)</f>
        <v>0.34999999999999992</v>
      </c>
      <c r="F2" s="6">
        <f>AVERAGE(E2:E12)</f>
        <v>0.31555555555555548</v>
      </c>
      <c r="G2">
        <v>0.3</v>
      </c>
      <c r="H2">
        <f>AVERAGE(F2,F13,F48)</f>
        <v>0.31749228395061729</v>
      </c>
      <c r="I2">
        <f>_xlfn.STDEV.S(F2,F13,F48)</f>
        <v>6.5494261686809491E-3</v>
      </c>
    </row>
    <row r="3" spans="1:9" x14ac:dyDescent="0.75">
      <c r="A3" t="s">
        <v>26</v>
      </c>
      <c r="B3">
        <v>12</v>
      </c>
      <c r="C3">
        <v>21.8</v>
      </c>
      <c r="E3">
        <f>(C4-C3)/(B4-B3)</f>
        <v>0.34444444444444422</v>
      </c>
      <c r="F3" s="6"/>
      <c r="G3">
        <v>0.5</v>
      </c>
      <c r="H3">
        <f>AVERAGE(F27,F36,F65)</f>
        <v>0.49134032316630355</v>
      </c>
      <c r="I3">
        <f>_xlfn.STDEV.S(F27,F36,F65)</f>
        <v>1.2042818090503116E-2</v>
      </c>
    </row>
    <row r="4" spans="1:9" x14ac:dyDescent="0.75">
      <c r="A4" t="s">
        <v>26</v>
      </c>
      <c r="B4">
        <v>21</v>
      </c>
      <c r="C4">
        <v>24.9</v>
      </c>
      <c r="E4">
        <f t="shared" ref="E4:E43" si="0">(C5-C4)/(B5-B4)</f>
        <v>0.33333333333333331</v>
      </c>
      <c r="F4" s="6"/>
      <c r="G4">
        <v>1</v>
      </c>
    </row>
    <row r="5" spans="1:9" x14ac:dyDescent="0.75">
      <c r="A5" t="s">
        <v>26</v>
      </c>
      <c r="B5">
        <v>24</v>
      </c>
      <c r="C5">
        <v>25.9</v>
      </c>
      <c r="E5">
        <f t="shared" si="0"/>
        <v>0.30000000000000071</v>
      </c>
      <c r="F5" s="6"/>
    </row>
    <row r="6" spans="1:9" x14ac:dyDescent="0.75">
      <c r="A6" t="s">
        <v>26</v>
      </c>
      <c r="B6">
        <v>28</v>
      </c>
      <c r="C6">
        <v>27.1</v>
      </c>
      <c r="E6">
        <f t="shared" si="0"/>
        <v>0.32499999999999929</v>
      </c>
      <c r="F6" s="6"/>
    </row>
    <row r="7" spans="1:9" x14ac:dyDescent="0.75">
      <c r="A7" t="s">
        <v>26</v>
      </c>
      <c r="B7">
        <v>32</v>
      </c>
      <c r="C7">
        <v>28.4</v>
      </c>
      <c r="E7">
        <f t="shared" si="0"/>
        <v>0.32500000000000018</v>
      </c>
      <c r="F7" s="6"/>
    </row>
    <row r="8" spans="1:9" x14ac:dyDescent="0.75">
      <c r="A8" t="s">
        <v>26</v>
      </c>
      <c r="B8">
        <v>36</v>
      </c>
      <c r="C8">
        <v>29.7</v>
      </c>
      <c r="E8">
        <f t="shared" si="0"/>
        <v>0.30000000000000071</v>
      </c>
      <c r="F8" s="6"/>
    </row>
    <row r="9" spans="1:9" x14ac:dyDescent="0.75">
      <c r="A9" t="s">
        <v>26</v>
      </c>
      <c r="B9">
        <v>38</v>
      </c>
      <c r="C9">
        <v>30.3</v>
      </c>
      <c r="E9">
        <f t="shared" si="0"/>
        <v>0.29999999999999954</v>
      </c>
      <c r="F9" s="6"/>
    </row>
    <row r="10" spans="1:9" x14ac:dyDescent="0.75">
      <c r="A10" t="s">
        <v>26</v>
      </c>
      <c r="B10">
        <v>41</v>
      </c>
      <c r="C10">
        <v>31.2</v>
      </c>
      <c r="E10">
        <f t="shared" si="0"/>
        <v>0.31111111111111117</v>
      </c>
      <c r="F10" s="6"/>
    </row>
    <row r="11" spans="1:9" x14ac:dyDescent="0.75">
      <c r="A11" t="s">
        <v>26</v>
      </c>
      <c r="B11">
        <v>50</v>
      </c>
      <c r="C11">
        <v>34</v>
      </c>
      <c r="E11">
        <f t="shared" si="0"/>
        <v>0.26666666666666572</v>
      </c>
      <c r="F11" s="6"/>
    </row>
    <row r="12" spans="1:9" x14ac:dyDescent="0.75">
      <c r="A12" t="s">
        <v>26</v>
      </c>
      <c r="B12">
        <v>53</v>
      </c>
      <c r="C12">
        <v>34.799999999999997</v>
      </c>
      <c r="F12" s="6"/>
    </row>
    <row r="13" spans="1:9" x14ac:dyDescent="0.75">
      <c r="A13" t="s">
        <v>27</v>
      </c>
      <c r="B13">
        <v>0</v>
      </c>
      <c r="C13">
        <v>17.2</v>
      </c>
      <c r="E13">
        <f>(C14-C13)/(B14-B13)</f>
        <v>0.38000000000000045</v>
      </c>
      <c r="F13" s="6">
        <f>AVERAGE(E13:E26)</f>
        <v>0.3121296296296297</v>
      </c>
    </row>
    <row r="14" spans="1:9" x14ac:dyDescent="0.75">
      <c r="A14" t="s">
        <v>27</v>
      </c>
      <c r="B14">
        <v>5</v>
      </c>
      <c r="C14">
        <v>19.100000000000001</v>
      </c>
      <c r="E14">
        <f t="shared" si="0"/>
        <v>0.33333333333333331</v>
      </c>
      <c r="F14" s="6"/>
    </row>
    <row r="15" spans="1:9" x14ac:dyDescent="0.75">
      <c r="A15" t="s">
        <v>27</v>
      </c>
      <c r="B15">
        <v>8</v>
      </c>
      <c r="C15">
        <v>20.100000000000001</v>
      </c>
      <c r="E15">
        <f t="shared" si="0"/>
        <v>0.34999999999999964</v>
      </c>
      <c r="F15" s="6"/>
    </row>
    <row r="16" spans="1:9" x14ac:dyDescent="0.75">
      <c r="A16" t="s">
        <v>27</v>
      </c>
      <c r="B16">
        <v>12</v>
      </c>
      <c r="C16">
        <v>21.5</v>
      </c>
      <c r="E16">
        <f t="shared" si="0"/>
        <v>0.35</v>
      </c>
      <c r="F16" s="6"/>
    </row>
    <row r="17" spans="1:6" x14ac:dyDescent="0.75">
      <c r="A17" t="s">
        <v>27</v>
      </c>
      <c r="B17">
        <v>22</v>
      </c>
      <c r="C17">
        <v>25</v>
      </c>
      <c r="E17">
        <f t="shared" si="0"/>
        <v>0.27500000000000036</v>
      </c>
      <c r="F17" s="6"/>
    </row>
    <row r="18" spans="1:6" x14ac:dyDescent="0.75">
      <c r="A18" t="s">
        <v>27</v>
      </c>
      <c r="B18">
        <v>26</v>
      </c>
      <c r="C18">
        <v>26.1</v>
      </c>
      <c r="E18">
        <f t="shared" si="0"/>
        <v>0.32499999999999929</v>
      </c>
      <c r="F18" s="6"/>
    </row>
    <row r="19" spans="1:6" x14ac:dyDescent="0.75">
      <c r="A19" t="s">
        <v>27</v>
      </c>
      <c r="B19">
        <v>30</v>
      </c>
      <c r="C19">
        <v>27.4</v>
      </c>
      <c r="E19">
        <f t="shared" si="0"/>
        <v>0.32500000000000018</v>
      </c>
      <c r="F19" s="6"/>
    </row>
    <row r="20" spans="1:6" x14ac:dyDescent="0.75">
      <c r="A20" t="s">
        <v>27</v>
      </c>
      <c r="B20">
        <v>34</v>
      </c>
      <c r="C20">
        <v>28.7</v>
      </c>
      <c r="E20">
        <f t="shared" si="0"/>
        <v>0.3</v>
      </c>
      <c r="F20" s="6"/>
    </row>
    <row r="21" spans="1:6" x14ac:dyDescent="0.75">
      <c r="A21" t="s">
        <v>27</v>
      </c>
      <c r="B21">
        <v>39</v>
      </c>
      <c r="C21">
        <v>30.2</v>
      </c>
      <c r="E21">
        <f t="shared" si="0"/>
        <v>0.25</v>
      </c>
      <c r="F21" s="6"/>
    </row>
    <row r="22" spans="1:6" x14ac:dyDescent="0.75">
      <c r="A22" t="s">
        <v>27</v>
      </c>
      <c r="B22">
        <v>41</v>
      </c>
      <c r="C22">
        <v>30.7</v>
      </c>
      <c r="E22">
        <f t="shared" si="0"/>
        <v>0.30000000000000071</v>
      </c>
      <c r="F22" s="6"/>
    </row>
    <row r="23" spans="1:6" x14ac:dyDescent="0.75">
      <c r="A23" t="s">
        <v>27</v>
      </c>
      <c r="B23">
        <v>44</v>
      </c>
      <c r="C23">
        <v>31.6</v>
      </c>
      <c r="E23">
        <f t="shared" si="0"/>
        <v>0.29999999999999893</v>
      </c>
      <c r="F23" s="6"/>
    </row>
    <row r="24" spans="1:6" x14ac:dyDescent="0.75">
      <c r="A24" t="s">
        <v>27</v>
      </c>
      <c r="B24">
        <v>48</v>
      </c>
      <c r="C24">
        <v>32.799999999999997</v>
      </c>
      <c r="E24">
        <f t="shared" si="0"/>
        <v>0.33333333333333331</v>
      </c>
      <c r="F24" s="6"/>
    </row>
    <row r="25" spans="1:6" x14ac:dyDescent="0.75">
      <c r="A25" t="s">
        <v>27</v>
      </c>
      <c r="B25">
        <v>51</v>
      </c>
      <c r="C25">
        <v>33.799999999999997</v>
      </c>
      <c r="E25">
        <f t="shared" si="0"/>
        <v>0.23333333333333428</v>
      </c>
      <c r="F25" s="6"/>
    </row>
    <row r="26" spans="1:6" x14ac:dyDescent="0.75">
      <c r="A26" t="s">
        <v>27</v>
      </c>
      <c r="B26">
        <v>54</v>
      </c>
      <c r="C26">
        <v>34.5</v>
      </c>
      <c r="E26">
        <f t="shared" si="0"/>
        <v>0.31481481481481483</v>
      </c>
      <c r="F26" s="6"/>
    </row>
    <row r="27" spans="1:6" x14ac:dyDescent="0.75">
      <c r="A27" t="s">
        <v>28</v>
      </c>
      <c r="B27">
        <v>0</v>
      </c>
      <c r="C27">
        <v>17.5</v>
      </c>
      <c r="E27">
        <f t="shared" si="0"/>
        <v>0.54999999999999982</v>
      </c>
      <c r="F27" s="6">
        <f>AVERAGE(E27:E35)</f>
        <v>0.50520833333333326</v>
      </c>
    </row>
    <row r="28" spans="1:6" x14ac:dyDescent="0.75">
      <c r="A28" t="s">
        <v>28</v>
      </c>
      <c r="B28">
        <v>4</v>
      </c>
      <c r="C28">
        <v>19.7</v>
      </c>
      <c r="E28">
        <f t="shared" si="0"/>
        <v>0.53333333333333377</v>
      </c>
      <c r="F28" s="6"/>
    </row>
    <row r="29" spans="1:6" x14ac:dyDescent="0.75">
      <c r="A29" t="s">
        <v>28</v>
      </c>
      <c r="B29">
        <v>7</v>
      </c>
      <c r="C29">
        <v>21.3</v>
      </c>
      <c r="E29">
        <f t="shared" si="0"/>
        <v>0.54999999999999893</v>
      </c>
      <c r="F29" s="6"/>
    </row>
    <row r="30" spans="1:6" x14ac:dyDescent="0.75">
      <c r="A30" t="s">
        <v>28</v>
      </c>
      <c r="B30">
        <v>9</v>
      </c>
      <c r="C30">
        <v>22.4</v>
      </c>
      <c r="E30">
        <f t="shared" si="0"/>
        <v>0.53333333333333377</v>
      </c>
      <c r="F30" s="6"/>
    </row>
    <row r="31" spans="1:6" x14ac:dyDescent="0.75">
      <c r="A31" t="s">
        <v>28</v>
      </c>
      <c r="B31">
        <v>12</v>
      </c>
      <c r="C31">
        <v>24</v>
      </c>
      <c r="E31">
        <f t="shared" si="0"/>
        <v>0.45000000000000018</v>
      </c>
      <c r="F31" s="6"/>
    </row>
    <row r="32" spans="1:6" x14ac:dyDescent="0.75">
      <c r="A32" t="s">
        <v>28</v>
      </c>
      <c r="B32">
        <v>16</v>
      </c>
      <c r="C32">
        <v>25.8</v>
      </c>
      <c r="E32">
        <f t="shared" si="0"/>
        <v>0.5</v>
      </c>
      <c r="F32" s="6"/>
    </row>
    <row r="33" spans="1:6" x14ac:dyDescent="0.75">
      <c r="A33" t="s">
        <v>28</v>
      </c>
      <c r="B33">
        <v>18</v>
      </c>
      <c r="C33">
        <v>26.8</v>
      </c>
      <c r="E33">
        <f t="shared" si="0"/>
        <v>0.5</v>
      </c>
      <c r="F33" s="6"/>
    </row>
    <row r="34" spans="1:6" x14ac:dyDescent="0.75">
      <c r="A34" t="s">
        <v>28</v>
      </c>
      <c r="B34">
        <v>21</v>
      </c>
      <c r="C34">
        <v>28.3</v>
      </c>
      <c r="E34">
        <f t="shared" si="0"/>
        <v>0.42499999999999982</v>
      </c>
      <c r="F34" s="6"/>
    </row>
    <row r="35" spans="1:6" x14ac:dyDescent="0.75">
      <c r="A35" t="s">
        <v>28</v>
      </c>
      <c r="B35">
        <v>25</v>
      </c>
      <c r="C35">
        <v>30</v>
      </c>
      <c r="F35" s="6"/>
    </row>
    <row r="36" spans="1:6" x14ac:dyDescent="0.75">
      <c r="A36" t="s">
        <v>29</v>
      </c>
      <c r="B36">
        <v>0</v>
      </c>
      <c r="C36">
        <v>17.3</v>
      </c>
      <c r="E36">
        <f t="shared" si="0"/>
        <v>0.53333333333333266</v>
      </c>
      <c r="F36" s="7">
        <f>AVERAGE(E36:E45)</f>
        <v>0.4835185185185184</v>
      </c>
    </row>
    <row r="37" spans="1:6" x14ac:dyDescent="0.75">
      <c r="A37" t="s">
        <v>29</v>
      </c>
      <c r="B37">
        <v>3</v>
      </c>
      <c r="C37">
        <v>18.899999999999999</v>
      </c>
      <c r="E37">
        <f t="shared" si="0"/>
        <v>0.52500000000000036</v>
      </c>
      <c r="F37" s="7"/>
    </row>
    <row r="38" spans="1:6" x14ac:dyDescent="0.75">
      <c r="A38" t="s">
        <v>29</v>
      </c>
      <c r="B38">
        <v>7</v>
      </c>
      <c r="C38">
        <v>21</v>
      </c>
      <c r="E38">
        <f t="shared" si="0"/>
        <v>0.5</v>
      </c>
      <c r="F38" s="7"/>
    </row>
    <row r="39" spans="1:6" x14ac:dyDescent="0.75">
      <c r="A39" t="s">
        <v>29</v>
      </c>
      <c r="B39">
        <v>12</v>
      </c>
      <c r="C39">
        <v>23.5</v>
      </c>
      <c r="E39">
        <f t="shared" si="0"/>
        <v>0.53333333333333377</v>
      </c>
      <c r="F39" s="7"/>
    </row>
    <row r="40" spans="1:6" x14ac:dyDescent="0.75">
      <c r="A40" t="s">
        <v>29</v>
      </c>
      <c r="B40">
        <v>15</v>
      </c>
      <c r="C40">
        <v>25.1</v>
      </c>
      <c r="E40">
        <f t="shared" si="0"/>
        <v>0.46666666666666617</v>
      </c>
      <c r="F40" s="7"/>
    </row>
    <row r="41" spans="1:6" x14ac:dyDescent="0.75">
      <c r="A41" t="s">
        <v>29</v>
      </c>
      <c r="B41">
        <v>18</v>
      </c>
      <c r="C41">
        <v>26.5</v>
      </c>
      <c r="E41">
        <f t="shared" si="0"/>
        <v>0.46666666666666617</v>
      </c>
      <c r="F41" s="7"/>
    </row>
    <row r="42" spans="1:6" x14ac:dyDescent="0.75">
      <c r="A42" t="s">
        <v>29</v>
      </c>
      <c r="B42">
        <v>21</v>
      </c>
      <c r="C42">
        <v>27.9</v>
      </c>
      <c r="E42">
        <f t="shared" si="0"/>
        <v>0.43333333333333357</v>
      </c>
      <c r="F42" s="7"/>
    </row>
    <row r="43" spans="1:6" x14ac:dyDescent="0.75">
      <c r="A43" t="s">
        <v>29</v>
      </c>
      <c r="B43">
        <v>24</v>
      </c>
      <c r="C43">
        <v>29.2</v>
      </c>
      <c r="E43">
        <f t="shared" si="0"/>
        <v>0.46000000000000013</v>
      </c>
      <c r="F43" s="7"/>
    </row>
    <row r="44" spans="1:6" x14ac:dyDescent="0.75">
      <c r="A44" t="s">
        <v>29</v>
      </c>
      <c r="B44">
        <v>29</v>
      </c>
      <c r="C44">
        <v>31.5</v>
      </c>
      <c r="E44">
        <f>(C45-C44)/(B45-B44)</f>
        <v>0.4333333333333324</v>
      </c>
      <c r="F44" s="7"/>
    </row>
    <row r="45" spans="1:6" x14ac:dyDescent="0.75">
      <c r="A45" t="s">
        <v>29</v>
      </c>
      <c r="B45">
        <v>32</v>
      </c>
      <c r="C45">
        <v>32.799999999999997</v>
      </c>
      <c r="F45" s="7"/>
    </row>
    <row r="46" spans="1:6" x14ac:dyDescent="0.75">
      <c r="A46" t="s">
        <v>30</v>
      </c>
      <c r="B46" t="s">
        <v>46</v>
      </c>
      <c r="D46" t="s">
        <v>54</v>
      </c>
    </row>
    <row r="47" spans="1:6" x14ac:dyDescent="0.75">
      <c r="A47" t="s">
        <v>31</v>
      </c>
      <c r="B47" t="s">
        <v>46</v>
      </c>
      <c r="D47" t="s">
        <v>54</v>
      </c>
    </row>
    <row r="48" spans="1:6" x14ac:dyDescent="0.75">
      <c r="A48" t="s">
        <v>32</v>
      </c>
      <c r="B48">
        <v>0</v>
      </c>
      <c r="C48">
        <v>17.7</v>
      </c>
      <c r="E48">
        <f>(C49-C48)/(B49-B48)</f>
        <v>0.33999999999999986</v>
      </c>
      <c r="F48" s="6">
        <f>AVERAGE(E48:E63)</f>
        <v>0.32479166666666665</v>
      </c>
    </row>
    <row r="49" spans="1:6" x14ac:dyDescent="0.75">
      <c r="A49" t="s">
        <v>32</v>
      </c>
      <c r="B49">
        <v>5</v>
      </c>
      <c r="C49">
        <v>19.399999999999999</v>
      </c>
      <c r="E49">
        <f t="shared" ref="E49:E81" si="1">(C50-C49)/(B50-B49)</f>
        <v>0.40000000000000036</v>
      </c>
      <c r="F49" s="6"/>
    </row>
    <row r="50" spans="1:6" x14ac:dyDescent="0.75">
      <c r="A50" t="s">
        <v>32</v>
      </c>
      <c r="B50">
        <v>7</v>
      </c>
      <c r="C50">
        <v>20.2</v>
      </c>
      <c r="E50">
        <f t="shared" si="1"/>
        <v>0.36666666666666714</v>
      </c>
      <c r="F50" s="6"/>
    </row>
    <row r="51" spans="1:6" x14ac:dyDescent="0.75">
      <c r="A51" t="s">
        <v>32</v>
      </c>
      <c r="B51">
        <v>10</v>
      </c>
      <c r="C51">
        <v>21.3</v>
      </c>
      <c r="E51">
        <f t="shared" si="1"/>
        <v>0.26666666666666689</v>
      </c>
      <c r="F51" s="6"/>
    </row>
    <row r="52" spans="1:6" x14ac:dyDescent="0.75">
      <c r="A52" t="s">
        <v>32</v>
      </c>
      <c r="B52">
        <v>13</v>
      </c>
      <c r="C52">
        <v>22.1</v>
      </c>
      <c r="E52">
        <f t="shared" si="1"/>
        <v>0.34999999999999964</v>
      </c>
      <c r="F52" s="6"/>
    </row>
    <row r="53" spans="1:6" x14ac:dyDescent="0.75">
      <c r="A53" t="s">
        <v>32</v>
      </c>
      <c r="B53">
        <v>15</v>
      </c>
      <c r="C53">
        <v>22.8</v>
      </c>
      <c r="E53">
        <f t="shared" si="1"/>
        <v>0.33333333333333331</v>
      </c>
      <c r="F53" s="6"/>
    </row>
    <row r="54" spans="1:6" x14ac:dyDescent="0.75">
      <c r="A54" t="s">
        <v>32</v>
      </c>
      <c r="B54">
        <v>18</v>
      </c>
      <c r="C54">
        <v>23.8</v>
      </c>
      <c r="E54">
        <f t="shared" si="1"/>
        <v>0.33999999999999986</v>
      </c>
      <c r="F54" s="6"/>
    </row>
    <row r="55" spans="1:6" x14ac:dyDescent="0.75">
      <c r="A55" t="s">
        <v>32</v>
      </c>
      <c r="B55">
        <v>23</v>
      </c>
      <c r="C55">
        <v>25.5</v>
      </c>
      <c r="E55">
        <f t="shared" si="1"/>
        <v>0.3</v>
      </c>
      <c r="F55" s="6"/>
    </row>
    <row r="56" spans="1:6" x14ac:dyDescent="0.75">
      <c r="A56" t="s">
        <v>32</v>
      </c>
      <c r="B56">
        <v>28</v>
      </c>
      <c r="C56">
        <v>27</v>
      </c>
      <c r="E56">
        <f t="shared" si="1"/>
        <v>0.39999999999999974</v>
      </c>
      <c r="F56" s="6"/>
    </row>
    <row r="57" spans="1:6" x14ac:dyDescent="0.75">
      <c r="A57" t="s">
        <v>32</v>
      </c>
      <c r="B57">
        <v>31</v>
      </c>
      <c r="C57">
        <v>28.2</v>
      </c>
      <c r="E57">
        <f t="shared" si="1"/>
        <v>0.30000000000000071</v>
      </c>
      <c r="F57" s="6"/>
    </row>
    <row r="58" spans="1:6" x14ac:dyDescent="0.75">
      <c r="A58" t="s">
        <v>32</v>
      </c>
      <c r="B58">
        <v>34</v>
      </c>
      <c r="C58">
        <v>29.1</v>
      </c>
      <c r="E58">
        <f t="shared" si="1"/>
        <v>0.29999999999999954</v>
      </c>
      <c r="F58" s="6"/>
    </row>
    <row r="59" spans="1:6" x14ac:dyDescent="0.75">
      <c r="A59" t="s">
        <v>32</v>
      </c>
      <c r="B59">
        <v>37</v>
      </c>
      <c r="C59">
        <v>30</v>
      </c>
      <c r="E59">
        <f t="shared" si="1"/>
        <v>0.29999999999999954</v>
      </c>
      <c r="F59" s="6"/>
    </row>
    <row r="60" spans="1:6" x14ac:dyDescent="0.75">
      <c r="A60" t="s">
        <v>32</v>
      </c>
      <c r="B60">
        <v>40</v>
      </c>
      <c r="C60">
        <v>30.9</v>
      </c>
      <c r="E60">
        <f t="shared" si="1"/>
        <v>0.33333333333333331</v>
      </c>
      <c r="F60" s="6"/>
    </row>
    <row r="61" spans="1:6" x14ac:dyDescent="0.75">
      <c r="A61" t="s">
        <v>32</v>
      </c>
      <c r="B61">
        <v>43</v>
      </c>
      <c r="C61">
        <v>31.9</v>
      </c>
      <c r="E61">
        <f t="shared" si="1"/>
        <v>0.33333333333333331</v>
      </c>
      <c r="F61" s="6"/>
    </row>
    <row r="62" spans="1:6" x14ac:dyDescent="0.75">
      <c r="A62" t="s">
        <v>32</v>
      </c>
      <c r="B62">
        <v>46</v>
      </c>
      <c r="C62">
        <v>32.9</v>
      </c>
      <c r="E62">
        <f t="shared" si="1"/>
        <v>0.26666666666666811</v>
      </c>
      <c r="F62" s="6"/>
    </row>
    <row r="63" spans="1:6" x14ac:dyDescent="0.75">
      <c r="A63" t="s">
        <v>32</v>
      </c>
      <c r="B63">
        <v>49</v>
      </c>
      <c r="C63">
        <v>33.700000000000003</v>
      </c>
      <c r="E63">
        <f t="shared" si="1"/>
        <v>0.26666666666666572</v>
      </c>
      <c r="F63" s="6"/>
    </row>
    <row r="64" spans="1:6" x14ac:dyDescent="0.75">
      <c r="A64" t="s">
        <v>32</v>
      </c>
      <c r="B64">
        <v>52</v>
      </c>
      <c r="C64">
        <v>34.5</v>
      </c>
    </row>
    <row r="65" spans="1:6" x14ac:dyDescent="0.75">
      <c r="A65" t="s">
        <v>33</v>
      </c>
      <c r="B65">
        <v>0</v>
      </c>
      <c r="C65">
        <v>17.600000000000001</v>
      </c>
      <c r="E65">
        <f t="shared" si="1"/>
        <v>0.39999999999999858</v>
      </c>
      <c r="F65" s="6">
        <f>AVERAGE(E65:E81)</f>
        <v>0.48529411764705882</v>
      </c>
    </row>
    <row r="66" spans="1:6" x14ac:dyDescent="0.75">
      <c r="A66" t="s">
        <v>33</v>
      </c>
      <c r="B66">
        <v>2</v>
      </c>
      <c r="C66">
        <v>18.399999999999999</v>
      </c>
      <c r="E66">
        <f t="shared" si="1"/>
        <v>0.60000000000000142</v>
      </c>
      <c r="F66" s="6"/>
    </row>
    <row r="67" spans="1:6" x14ac:dyDescent="0.75">
      <c r="A67" t="s">
        <v>33</v>
      </c>
      <c r="B67">
        <v>4</v>
      </c>
      <c r="C67">
        <v>19.600000000000001</v>
      </c>
      <c r="E67">
        <f t="shared" si="1"/>
        <v>0.54999999999999893</v>
      </c>
      <c r="F67" s="6"/>
    </row>
    <row r="68" spans="1:6" x14ac:dyDescent="0.75">
      <c r="A68" t="s">
        <v>33</v>
      </c>
      <c r="B68">
        <v>6</v>
      </c>
      <c r="C68">
        <v>20.7</v>
      </c>
      <c r="E68">
        <f t="shared" si="1"/>
        <v>0.5</v>
      </c>
      <c r="F68" s="6"/>
    </row>
    <row r="69" spans="1:6" x14ac:dyDescent="0.75">
      <c r="A69" t="s">
        <v>33</v>
      </c>
      <c r="B69">
        <v>8</v>
      </c>
      <c r="C69">
        <v>21.7</v>
      </c>
      <c r="E69">
        <f t="shared" si="1"/>
        <v>0.55000000000000071</v>
      </c>
      <c r="F69" s="6"/>
    </row>
    <row r="70" spans="1:6" x14ac:dyDescent="0.75">
      <c r="A70" t="s">
        <v>33</v>
      </c>
      <c r="B70">
        <v>10</v>
      </c>
      <c r="C70">
        <v>22.8</v>
      </c>
      <c r="E70">
        <f t="shared" si="1"/>
        <v>0.5</v>
      </c>
      <c r="F70" s="6"/>
    </row>
    <row r="71" spans="1:6" x14ac:dyDescent="0.75">
      <c r="A71" t="s">
        <v>33</v>
      </c>
      <c r="B71">
        <v>12</v>
      </c>
      <c r="C71">
        <v>23.8</v>
      </c>
      <c r="E71">
        <f t="shared" si="1"/>
        <v>0.44999999999999929</v>
      </c>
      <c r="F71" s="6"/>
    </row>
    <row r="72" spans="1:6" x14ac:dyDescent="0.75">
      <c r="A72" t="s">
        <v>33</v>
      </c>
      <c r="B72">
        <v>14</v>
      </c>
      <c r="C72">
        <v>24.7</v>
      </c>
      <c r="E72">
        <f t="shared" si="1"/>
        <v>0.55000000000000071</v>
      </c>
      <c r="F72" s="6"/>
    </row>
    <row r="73" spans="1:6" x14ac:dyDescent="0.75">
      <c r="A73" t="s">
        <v>33</v>
      </c>
      <c r="B73">
        <v>16</v>
      </c>
      <c r="C73">
        <v>25.8</v>
      </c>
      <c r="E73">
        <f t="shared" si="1"/>
        <v>0.5</v>
      </c>
      <c r="F73" s="6"/>
    </row>
    <row r="74" spans="1:6" x14ac:dyDescent="0.75">
      <c r="A74" t="s">
        <v>33</v>
      </c>
      <c r="B74">
        <v>18</v>
      </c>
      <c r="C74">
        <v>26.8</v>
      </c>
      <c r="E74">
        <f t="shared" si="1"/>
        <v>0.5</v>
      </c>
      <c r="F74" s="6"/>
    </row>
    <row r="75" spans="1:6" x14ac:dyDescent="0.75">
      <c r="A75" t="s">
        <v>33</v>
      </c>
      <c r="B75">
        <v>20</v>
      </c>
      <c r="C75">
        <v>27.8</v>
      </c>
      <c r="E75">
        <f t="shared" si="1"/>
        <v>0.44999999999999929</v>
      </c>
      <c r="F75" s="6"/>
    </row>
    <row r="76" spans="1:6" x14ac:dyDescent="0.75">
      <c r="A76" t="s">
        <v>33</v>
      </c>
      <c r="B76">
        <v>22</v>
      </c>
      <c r="C76">
        <v>28.7</v>
      </c>
      <c r="E76">
        <f t="shared" si="1"/>
        <v>0.5</v>
      </c>
      <c r="F76" s="6"/>
    </row>
    <row r="77" spans="1:6" x14ac:dyDescent="0.75">
      <c r="A77" t="s">
        <v>33</v>
      </c>
      <c r="B77">
        <v>24</v>
      </c>
      <c r="C77">
        <v>29.7</v>
      </c>
      <c r="E77">
        <f t="shared" si="1"/>
        <v>0.5</v>
      </c>
      <c r="F77" s="6"/>
    </row>
    <row r="78" spans="1:6" x14ac:dyDescent="0.75">
      <c r="A78" t="s">
        <v>33</v>
      </c>
      <c r="B78">
        <v>26</v>
      </c>
      <c r="C78">
        <v>30.7</v>
      </c>
      <c r="E78">
        <f t="shared" si="1"/>
        <v>0.40000000000000036</v>
      </c>
      <c r="F78" s="6"/>
    </row>
    <row r="79" spans="1:6" x14ac:dyDescent="0.75">
      <c r="A79" t="s">
        <v>33</v>
      </c>
      <c r="B79">
        <v>28</v>
      </c>
      <c r="C79">
        <v>31.5</v>
      </c>
      <c r="E79">
        <f t="shared" si="1"/>
        <v>0.5</v>
      </c>
      <c r="F79" s="6"/>
    </row>
    <row r="80" spans="1:6" x14ac:dyDescent="0.75">
      <c r="A80" t="s">
        <v>33</v>
      </c>
      <c r="B80">
        <v>30</v>
      </c>
      <c r="C80">
        <v>32.5</v>
      </c>
      <c r="E80">
        <f t="shared" si="1"/>
        <v>0.39999999999999858</v>
      </c>
      <c r="F80" s="6"/>
    </row>
    <row r="81" spans="1:6" x14ac:dyDescent="0.75">
      <c r="A81" t="s">
        <v>33</v>
      </c>
      <c r="B81">
        <v>32</v>
      </c>
      <c r="C81">
        <v>33.299999999999997</v>
      </c>
      <c r="E81">
        <f t="shared" si="1"/>
        <v>0.40000000000000213</v>
      </c>
      <c r="F81" s="6"/>
    </row>
    <row r="82" spans="1:6" x14ac:dyDescent="0.75">
      <c r="A82" t="s">
        <v>33</v>
      </c>
      <c r="B82">
        <v>34</v>
      </c>
      <c r="C82">
        <v>34.1</v>
      </c>
    </row>
    <row r="83" spans="1:6" x14ac:dyDescent="0.75">
      <c r="A83" t="s">
        <v>55</v>
      </c>
      <c r="B83" t="s">
        <v>46</v>
      </c>
      <c r="D83" t="s">
        <v>54</v>
      </c>
    </row>
    <row r="84" spans="1:6" x14ac:dyDescent="0.75">
      <c r="A84" t="s">
        <v>56</v>
      </c>
      <c r="B84" t="s">
        <v>46</v>
      </c>
      <c r="D84" t="s">
        <v>54</v>
      </c>
    </row>
  </sheetData>
  <mergeCells count="6">
    <mergeCell ref="F65:F81"/>
    <mergeCell ref="F2:F12"/>
    <mergeCell ref="F13:F26"/>
    <mergeCell ref="F27:F35"/>
    <mergeCell ref="F36:F45"/>
    <mergeCell ref="F48:F63"/>
  </mergeCells>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6B438-02F9-447E-96A9-739B5686003C}">
  <dimension ref="A1:I17"/>
  <sheetViews>
    <sheetView workbookViewId="0">
      <selection activeCell="G8" sqref="G8"/>
    </sheetView>
  </sheetViews>
  <sheetFormatPr defaultRowHeight="14.75" x14ac:dyDescent="0.75"/>
  <cols>
    <col min="1" max="1" width="10.1796875" bestFit="1" customWidth="1"/>
    <col min="2" max="2" width="12.36328125" bestFit="1" customWidth="1"/>
    <col min="3" max="3" width="20.1796875" bestFit="1" customWidth="1"/>
    <col min="4" max="4" width="22.6328125" bestFit="1" customWidth="1"/>
    <col min="5" max="5" width="20.81640625" bestFit="1" customWidth="1"/>
    <col min="6" max="6" width="22.7265625" bestFit="1" customWidth="1"/>
    <col min="7" max="7" width="17.54296875" bestFit="1" customWidth="1"/>
    <col min="8" max="8" width="17.54296875" customWidth="1"/>
  </cols>
  <sheetData>
    <row r="1" spans="1:9" s="3" customFormat="1" x14ac:dyDescent="0.75">
      <c r="A1" s="3" t="s">
        <v>25</v>
      </c>
      <c r="B1" s="3" t="s">
        <v>23</v>
      </c>
      <c r="C1" s="3" t="s">
        <v>4</v>
      </c>
      <c r="D1" s="3" t="s">
        <v>5</v>
      </c>
      <c r="E1" s="3" t="s">
        <v>52</v>
      </c>
      <c r="F1" s="3" t="s">
        <v>53</v>
      </c>
      <c r="G1" s="3" t="s">
        <v>37</v>
      </c>
      <c r="H1" s="3" t="s">
        <v>96</v>
      </c>
      <c r="I1" s="3" t="s">
        <v>7</v>
      </c>
    </row>
    <row r="2" spans="1:9" x14ac:dyDescent="0.75">
      <c r="A2" t="s">
        <v>26</v>
      </c>
      <c r="B2">
        <v>0.3</v>
      </c>
      <c r="C2">
        <f>5/18</f>
        <v>0.27777777777777779</v>
      </c>
      <c r="D2" s="2">
        <v>0.38194444444444442</v>
      </c>
      <c r="E2">
        <v>18</v>
      </c>
      <c r="F2">
        <v>18</v>
      </c>
      <c r="G2">
        <v>5.8</v>
      </c>
      <c r="H2">
        <f>G2/F2</f>
        <v>0.32222222222222219</v>
      </c>
      <c r="I2" t="s">
        <v>8</v>
      </c>
    </row>
    <row r="3" spans="1:9" x14ac:dyDescent="0.75">
      <c r="A3" t="s">
        <v>27</v>
      </c>
      <c r="B3">
        <v>0.3</v>
      </c>
      <c r="C3">
        <f>5/18</f>
        <v>0.27777777777777779</v>
      </c>
      <c r="D3" s="2">
        <v>0.38194444444444442</v>
      </c>
      <c r="E3">
        <v>18</v>
      </c>
      <c r="F3">
        <v>18</v>
      </c>
      <c r="G3">
        <v>6.9</v>
      </c>
      <c r="H3">
        <f t="shared" ref="H3:H11" si="0">G3/F3</f>
        <v>0.38333333333333336</v>
      </c>
      <c r="I3" t="s">
        <v>8</v>
      </c>
    </row>
    <row r="4" spans="1:9" x14ac:dyDescent="0.75">
      <c r="A4" t="s">
        <v>28</v>
      </c>
      <c r="B4">
        <v>0.5</v>
      </c>
      <c r="C4">
        <f>4/18</f>
        <v>0.22222222222222221</v>
      </c>
      <c r="D4" s="2">
        <v>0.38194444444444442</v>
      </c>
      <c r="E4">
        <v>18</v>
      </c>
      <c r="F4">
        <v>18</v>
      </c>
      <c r="G4">
        <v>5.4</v>
      </c>
      <c r="H4">
        <f t="shared" si="0"/>
        <v>0.30000000000000004</v>
      </c>
      <c r="I4" t="s">
        <v>8</v>
      </c>
    </row>
    <row r="5" spans="1:9" x14ac:dyDescent="0.75">
      <c r="A5" t="s">
        <v>29</v>
      </c>
      <c r="B5">
        <v>0.5</v>
      </c>
      <c r="C5">
        <f>6/18</f>
        <v>0.33333333333333331</v>
      </c>
      <c r="D5" s="2">
        <v>0.38194444444444442</v>
      </c>
      <c r="E5">
        <v>18</v>
      </c>
      <c r="F5">
        <v>18</v>
      </c>
      <c r="G5">
        <v>5.0999999999999996</v>
      </c>
      <c r="H5">
        <f>G5/F5</f>
        <v>0.28333333333333333</v>
      </c>
      <c r="I5" t="s">
        <v>8</v>
      </c>
    </row>
    <row r="6" spans="1:9" x14ac:dyDescent="0.75">
      <c r="A6" t="s">
        <v>30</v>
      </c>
      <c r="B6">
        <f>1/60</f>
        <v>1.6666666666666666E-2</v>
      </c>
      <c r="C6">
        <f>10/16</f>
        <v>0.625</v>
      </c>
      <c r="D6" s="2">
        <v>0.34861111111111109</v>
      </c>
      <c r="E6">
        <v>16</v>
      </c>
      <c r="F6">
        <v>16</v>
      </c>
      <c r="G6">
        <v>5.3</v>
      </c>
      <c r="H6">
        <f t="shared" si="0"/>
        <v>0.33124999999999999</v>
      </c>
      <c r="I6" t="s">
        <v>44</v>
      </c>
    </row>
    <row r="7" spans="1:9" x14ac:dyDescent="0.75">
      <c r="A7" t="s">
        <v>31</v>
      </c>
      <c r="B7">
        <f>1/60</f>
        <v>1.6666666666666666E-2</v>
      </c>
      <c r="C7">
        <f>11/15</f>
        <v>0.73333333333333328</v>
      </c>
      <c r="D7" s="2">
        <v>0.34861111111111109</v>
      </c>
      <c r="E7">
        <v>15</v>
      </c>
      <c r="F7">
        <v>15</v>
      </c>
      <c r="G7">
        <v>4.5</v>
      </c>
      <c r="H7">
        <f t="shared" si="0"/>
        <v>0.3</v>
      </c>
      <c r="I7" t="s">
        <v>45</v>
      </c>
    </row>
    <row r="8" spans="1:9" x14ac:dyDescent="0.75">
      <c r="A8" t="s">
        <v>32</v>
      </c>
      <c r="B8">
        <v>0.3</v>
      </c>
      <c r="C8">
        <f>4/18</f>
        <v>0.22222222222222221</v>
      </c>
      <c r="D8" s="2">
        <v>0.34861111111111109</v>
      </c>
      <c r="E8">
        <v>18</v>
      </c>
      <c r="F8">
        <v>18</v>
      </c>
      <c r="G8">
        <v>3.3</v>
      </c>
      <c r="H8">
        <f t="shared" si="0"/>
        <v>0.18333333333333332</v>
      </c>
      <c r="I8" t="s">
        <v>49</v>
      </c>
    </row>
    <row r="9" spans="1:9" x14ac:dyDescent="0.75">
      <c r="A9" t="s">
        <v>33</v>
      </c>
      <c r="B9">
        <v>0.5</v>
      </c>
      <c r="C9">
        <f>2/18</f>
        <v>0.1111111111111111</v>
      </c>
      <c r="D9" s="2">
        <v>0.34861111111111109</v>
      </c>
      <c r="E9">
        <v>18</v>
      </c>
      <c r="F9">
        <v>17</v>
      </c>
      <c r="G9">
        <v>3.8</v>
      </c>
      <c r="H9">
        <f t="shared" si="0"/>
        <v>0.22352941176470587</v>
      </c>
      <c r="I9" t="s">
        <v>51</v>
      </c>
    </row>
    <row r="10" spans="1:9" x14ac:dyDescent="0.75">
      <c r="A10" t="s">
        <v>55</v>
      </c>
      <c r="B10">
        <f>1/60</f>
        <v>1.6666666666666666E-2</v>
      </c>
      <c r="C10">
        <f>11/13</f>
        <v>0.84615384615384615</v>
      </c>
      <c r="D10" s="2">
        <v>0.35972222222222222</v>
      </c>
      <c r="E10">
        <v>13</v>
      </c>
      <c r="F10">
        <v>13</v>
      </c>
      <c r="G10">
        <v>4.2</v>
      </c>
      <c r="H10">
        <f t="shared" si="0"/>
        <v>0.32307692307692309</v>
      </c>
      <c r="I10" t="s">
        <v>57</v>
      </c>
    </row>
    <row r="11" spans="1:9" x14ac:dyDescent="0.75">
      <c r="A11" t="s">
        <v>56</v>
      </c>
      <c r="B11">
        <f>1/60</f>
        <v>1.6666666666666666E-2</v>
      </c>
      <c r="C11">
        <f>10/18</f>
        <v>0.55555555555555558</v>
      </c>
      <c r="D11" s="2">
        <v>0.35972222222222222</v>
      </c>
      <c r="E11">
        <v>18</v>
      </c>
      <c r="F11">
        <v>18</v>
      </c>
      <c r="G11">
        <v>4.4000000000000004</v>
      </c>
      <c r="H11">
        <f t="shared" si="0"/>
        <v>0.24444444444444446</v>
      </c>
      <c r="I11" t="s">
        <v>58</v>
      </c>
    </row>
    <row r="14" spans="1:9" x14ac:dyDescent="0.75">
      <c r="E14" t="s">
        <v>97</v>
      </c>
      <c r="F14" t="s">
        <v>98</v>
      </c>
      <c r="G14" t="s">
        <v>99</v>
      </c>
    </row>
    <row r="15" spans="1:9" x14ac:dyDescent="0.75">
      <c r="D15">
        <v>0.3</v>
      </c>
      <c r="E15">
        <f>AVERAGE(G2:G3,G8)</f>
        <v>5.333333333333333</v>
      </c>
      <c r="F15">
        <f>AVERAGE(H2:H3,H8)</f>
        <v>0.29629629629629628</v>
      </c>
      <c r="G15">
        <f>_xlfn.STDEV.S(H2:H3,H8)</f>
        <v>0.10248958594090161</v>
      </c>
    </row>
    <row r="16" spans="1:9" x14ac:dyDescent="0.75">
      <c r="D16">
        <v>0.5</v>
      </c>
      <c r="E16">
        <f>AVERAGE(G4:G5,G9)</f>
        <v>4.7666666666666666</v>
      </c>
      <c r="F16">
        <f>AVERAGE(H4:H5,H9)</f>
        <v>0.26895424836601306</v>
      </c>
      <c r="G16">
        <f>_xlfn.STDEV.S(H4:H5,H9)</f>
        <v>4.0212016607427695E-2</v>
      </c>
    </row>
    <row r="17" spans="4:7" x14ac:dyDescent="0.75">
      <c r="D17">
        <v>1.67E-2</v>
      </c>
      <c r="E17">
        <f>AVERAGE(G6:G7,G10:G11)</f>
        <v>4.5999999999999996</v>
      </c>
      <c r="F17">
        <f>AVERAGE(H6:H7,H10:H11)</f>
        <v>0.2996928418803419</v>
      </c>
      <c r="G17">
        <f>_xlfn.STDEV.S(H6:H7,H10:H11)</f>
        <v>3.9137148794730681E-2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LETHAL_TDT</vt:lpstr>
      <vt:lpstr>SUBLETHAL_TDT</vt:lpstr>
      <vt:lpstr>SUBLETHAL_TDT_trial_data</vt:lpstr>
      <vt:lpstr>CTMAX</vt:lpstr>
      <vt:lpstr>CTMAX_ramping_data</vt:lpstr>
      <vt:lpstr>CTMAX_trial_data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Patrice Pottier</dc:creator>
  <cp:lastModifiedBy>Patrice Pottier</cp:lastModifiedBy>
  <dcterms:created xsi:type="dcterms:W3CDTF">2025-06-24T13:53:36Z</dcterms:created>
  <dcterms:modified xsi:type="dcterms:W3CDTF">2026-04-10T07:54:48Z</dcterms:modified>
</cp:coreProperties>
</file>